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manställning" sheetId="1" state="visible" r:id="rId3"/>
    <sheet name="Innehav" sheetId="2" state="visible" r:id="rId4"/>
    <sheet name="Allokering" sheetId="3" state="visible" r:id="rId5"/>
    <sheet name="Bevakningslista" sheetId="4" state="visible" r:id="rId6"/>
    <sheet name="Tracker" sheetId="5" state="visible" r:id="rId7"/>
    <sheet name="Transaktioner" sheetId="6" state="visible" r:id="rId8"/>
    <sheet name="Realiserad historik" sheetId="7" state="visible" r:id="rId9"/>
    <sheet name="Utdelningar &amp; räntor" sheetId="8" state="visible" r:id="rId10"/>
  </sheets>
  <definedNames>
    <definedName function="false" hidden="true" localSheetId="5" name="_xlnm._FilterDatabase" vbProcedure="false">Transaktioner!$A$4:$K$257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<sst xmlns="http://schemas.openxmlformats.org/spreadsheetml/2006/main" count="2452" uniqueCount="575">
  <si>
    <t xml:space="preserve">PORTFÖLJSAMMANSTÄLLNING – GENA MANAGEMENT AB</t>
  </si>
  <si>
    <t xml:space="preserve">Sammanställning per 2026-04-28. Uppdaterad med transaktionshistorik från 2021 (Danske) och realiserad rapport från 2020 (Carnegie).</t>
  </si>
  <si>
    <t xml:space="preserve">DEPÅÖVERSIKT</t>
  </si>
  <si>
    <t xml:space="preserve">Depå</t>
  </si>
  <si>
    <t xml:space="preserve">Marknadsvärde (SEK)</t>
  </si>
  <si>
    <t xml:space="preserve">Anskaffningsvärde (SEK)</t>
  </si>
  <si>
    <t xml:space="preserve">Orealiserat (SEK)</t>
  </si>
  <si>
    <t xml:space="preserve">Orealiserat %</t>
  </si>
  <si>
    <t xml:space="preserve">Andel av total</t>
  </si>
  <si>
    <t xml:space="preserve">Portfölj 1 (Danske)</t>
  </si>
  <si>
    <t xml:space="preserve">DNB Carnegie ISK (1687755)</t>
  </si>
  <si>
    <t xml:space="preserve">TOTALT</t>
  </si>
  <si>
    <t xml:space="preserve">REALISERAD AVKASTNING SEDAN 2020</t>
  </si>
  <si>
    <t xml:space="preserve">Källa</t>
  </si>
  <si>
    <t xml:space="preserve">Realiserade vinster/förluster</t>
  </si>
  <si>
    <t xml:space="preserve">Utdelningar</t>
  </si>
  <si>
    <t xml:space="preserve">Räntor</t>
  </si>
  <si>
    <t xml:space="preserve">Totalt</t>
  </si>
  <si>
    <t xml:space="preserve">Carnegie (1687755)</t>
  </si>
  <si>
    <t xml:space="preserve">Danske (3023140659)</t>
  </si>
  <si>
    <t xml:space="preserve">Se 'Realiserad historik'</t>
  </si>
  <si>
    <t xml:space="preserve">ALLOKERING PER TILLGÅNGSSLAG</t>
  </si>
  <si>
    <t xml:space="preserve">Tillgångsslag</t>
  </si>
  <si>
    <t xml:space="preserve">Värde (SEK)</t>
  </si>
  <si>
    <t xml:space="preserve">Andel</t>
  </si>
  <si>
    <t xml:space="preserve">Svenska direkta aktier</t>
  </si>
  <si>
    <t xml:space="preserve">Svenska aktiefonder</t>
  </si>
  <si>
    <t xml:space="preserve">Globala/utländska aktiefonder &amp; ETF:er</t>
  </si>
  <si>
    <t xml:space="preserve">Utländska direkta aktier</t>
  </si>
  <si>
    <t xml:space="preserve">Guld (ETF)</t>
  </si>
  <si>
    <t xml:space="preserve">Likvida medel</t>
  </si>
  <si>
    <t xml:space="preserve">ALLOKERING PER VALUTA</t>
  </si>
  <si>
    <t xml:space="preserve">Valuta</t>
  </si>
  <si>
    <t xml:space="preserve">SEK</t>
  </si>
  <si>
    <t xml:space="preserve">USD</t>
  </si>
  <si>
    <t xml:space="preserve">EUR</t>
  </si>
  <si>
    <t xml:space="preserve">DKK</t>
  </si>
  <si>
    <t xml:space="preserve">KONCENTRATIONER ATT BEVAKA</t>
  </si>
  <si>
    <t xml:space="preserve">Position</t>
  </si>
  <si>
    <t xml:space="preserve">Värde</t>
  </si>
  <si>
    <t xml:space="preserve">Carnegie Småbolagsfond (största enskilda position)</t>
  </si>
  <si>
    <t xml:space="preserve">1 549 097 SEK</t>
  </si>
  <si>
    <t xml:space="preserve">12,5 % av total</t>
  </si>
  <si>
    <t xml:space="preserve">Investor B + Industrivärden C (svenska investmentbolag)</t>
  </si>
  <si>
    <t xml:space="preserve">1 979 404 SEK</t>
  </si>
  <si>
    <t xml:space="preserve">15,9 % av total</t>
  </si>
  <si>
    <t xml:space="preserve">iShares Physical Gold</t>
  </si>
  <si>
    <t xml:space="preserve">1 195 566 SEK</t>
  </si>
  <si>
    <t xml:space="preserve">9,6 % av total</t>
  </si>
  <si>
    <t xml:space="preserve">Svenska småbolagsfonder samlat</t>
  </si>
  <si>
    <t xml:space="preserve">2 406 137 SEK</t>
  </si>
  <si>
    <t xml:space="preserve">19,4 % av total</t>
  </si>
  <si>
    <t xml:space="preserve">Svensk exponering (aktier+fonder, ex globala)</t>
  </si>
  <si>
    <t xml:space="preserve">~7 002 005 SEK</t>
  </si>
  <si>
    <t xml:space="preserve">~56 % av total</t>
  </si>
  <si>
    <t xml:space="preserve">Hälsovård (Novo+AstraZeneca+Bonesupport+BioGaia+Vitrolife)</t>
  </si>
  <si>
    <t xml:space="preserve">1 573 397 SEK</t>
  </si>
  <si>
    <t xml:space="preserve">12,7 % av total</t>
  </si>
  <si>
    <t xml:space="preserve">ALLA INNEHAV – KOMBINERAT</t>
  </si>
  <si>
    <t xml:space="preserve">Sorterat efter marknadsvärde i SEK. Anskaffningsvärden från depårapporter och transaktionshistorik.</t>
  </si>
  <si>
    <t xml:space="preserve">Värdepapper</t>
  </si>
  <si>
    <t xml:space="preserve">Antal</t>
  </si>
  <si>
    <t xml:space="preserve">Kurs</t>
  </si>
  <si>
    <t xml:space="preserve">FX→SEK</t>
  </si>
  <si>
    <t xml:space="preserve">GAV/aktie (lokal val.)</t>
  </si>
  <si>
    <t xml:space="preserve">Andel %</t>
  </si>
  <si>
    <t xml:space="preserve">Sektor/Typ</t>
  </si>
  <si>
    <t xml:space="preserve">Portfölj 1</t>
  </si>
  <si>
    <t xml:space="preserve">Carnegie Småbolagsfond A</t>
  </si>
  <si>
    <t xml:space="preserve">Svenska småbolag (fond)</t>
  </si>
  <si>
    <t xml:space="preserve">Investor AB B</t>
  </si>
  <si>
    <t xml:space="preserve">Investmentbolag</t>
  </si>
  <si>
    <t xml:space="preserve">Råvara/ETF</t>
  </si>
  <si>
    <t xml:space="preserve">DIS Globala Index SA</t>
  </si>
  <si>
    <t xml:space="preserve">Globalindex (fond)</t>
  </si>
  <si>
    <t xml:space="preserve">Portfölj 2</t>
  </si>
  <si>
    <t xml:space="preserve">Volvo B</t>
  </si>
  <si>
    <t xml:space="preserve">Industri</t>
  </si>
  <si>
    <t xml:space="preserve">Industrivärden C</t>
  </si>
  <si>
    <t xml:space="preserve">AstraZeneca</t>
  </si>
  <si>
    <t xml:space="preserve">Hälsovård (pharma)</t>
  </si>
  <si>
    <t xml:space="preserve">Neste Oyj</t>
  </si>
  <si>
    <t xml:space="preserve">Energi/biofuel</t>
  </si>
  <si>
    <t xml:space="preserve">Bonesupport Holding</t>
  </si>
  <si>
    <t xml:space="preserve">Hälsovård (medtech)</t>
  </si>
  <si>
    <t xml:space="preserve">iShares Euro Stoxx</t>
  </si>
  <si>
    <t xml:space="preserve">Europaindex (ETF)</t>
  </si>
  <si>
    <t xml:space="preserve">DI SE Småbolag SA</t>
  </si>
  <si>
    <t xml:space="preserve">Castellum AB</t>
  </si>
  <si>
    <t xml:space="preserve">Fastigheter</t>
  </si>
  <si>
    <t xml:space="preserve">Sinch Rg</t>
  </si>
  <si>
    <t xml:space="preserve">Tech/Kommunikation</t>
  </si>
  <si>
    <t xml:space="preserve">Fastighets Balder B</t>
  </si>
  <si>
    <t xml:space="preserve">Smart Eye</t>
  </si>
  <si>
    <t xml:space="preserve">Tech/Småbolag</t>
  </si>
  <si>
    <t xml:space="preserve">Novo Nordisk B</t>
  </si>
  <si>
    <t xml:space="preserve">Lannebo Småbolag</t>
  </si>
  <si>
    <t xml:space="preserve">Xtr Art USD1CAcc</t>
  </si>
  <si>
    <t xml:space="preserve">Tematisk fond</t>
  </si>
  <si>
    <t xml:space="preserve">iShares S&amp;P 500 USD</t>
  </si>
  <si>
    <t xml:space="preserve">USA-index (ETF)</t>
  </si>
  <si>
    <t xml:space="preserve">Atlas Copco B</t>
  </si>
  <si>
    <t xml:space="preserve">PN Sverige Aktiv Ac</t>
  </si>
  <si>
    <t xml:space="preserve">Svenska aktier (fond)</t>
  </si>
  <si>
    <t xml:space="preserve">AAK AB</t>
  </si>
  <si>
    <t xml:space="preserve">Konsumtion/Råvara</t>
  </si>
  <si>
    <t xml:space="preserve">Vitrolife</t>
  </si>
  <si>
    <t xml:space="preserve">Hoist Finance AB</t>
  </si>
  <si>
    <t xml:space="preserve">Finans</t>
  </si>
  <si>
    <t xml:space="preserve">Fiserv Inc.</t>
  </si>
  <si>
    <t xml:space="preserve">Tech/Betalningar</t>
  </si>
  <si>
    <t xml:space="preserve">BioGaia AB B</t>
  </si>
  <si>
    <t xml:space="preserve">Hälsovård</t>
  </si>
  <si>
    <t xml:space="preserve">SKF B</t>
  </si>
  <si>
    <t xml:space="preserve">Dometic Group</t>
  </si>
  <si>
    <t xml:space="preserve">Konsument</t>
  </si>
  <si>
    <t xml:space="preserve">Truecaller AK B</t>
  </si>
  <si>
    <t xml:space="preserve">Kontanter</t>
  </si>
  <si>
    <t xml:space="preserve">ALLOKERING – DJUPARE NEDBRYTNING</t>
  </si>
  <si>
    <t xml:space="preserve">PER SEKTOR/TYP</t>
  </si>
  <si>
    <t xml:space="preserve">PER GEOGRAFISK EXPONERING (handelsvaluta)</t>
  </si>
  <si>
    <t xml:space="preserve">Region</t>
  </si>
  <si>
    <t xml:space="preserve">Sverige</t>
  </si>
  <si>
    <t xml:space="preserve">USA-exponering (USD)</t>
  </si>
  <si>
    <t xml:space="preserve">Europa-exponering (EUR)</t>
  </si>
  <si>
    <t xml:space="preserve">Danmark (Novo)</t>
  </si>
  <si>
    <t xml:space="preserve">Likvida</t>
  </si>
  <si>
    <t xml:space="preserve">Notering: Region baserat på handelsvaluta. Vissa fonder (DIS Glb Index, Xtr Art, iShares Euro Stoxx) har globala underliggande innehav.</t>
  </si>
  <si>
    <t xml:space="preserve">BEVAKNINGSLISTA – ANALYTIKER &amp; TRIGGERS</t>
  </si>
  <si>
    <t xml:space="preserve">Riktkurser och konsensus från publika källor (apr 2026). Egna trigger-nivåer fylls i kolumn H–I.</t>
  </si>
  <si>
    <t xml:space="preserve">Kurs nu</t>
  </si>
  <si>
    <t xml:space="preserve">Konsensus</t>
  </si>
  <si>
    <t xml:space="preserve">Snitt riktkurs</t>
  </si>
  <si>
    <t xml:space="preserve">Implicit upp/ner</t>
  </si>
  <si>
    <t xml:space="preserve">Närmaste rapport/event</t>
  </si>
  <si>
    <t xml:space="preserve">Min trigger köp</t>
  </si>
  <si>
    <t xml:space="preserve">Min trigger sälj</t>
  </si>
  <si>
    <t xml:space="preserve">Anteckning</t>
  </si>
  <si>
    <t xml:space="preserve">Hold/Buy (mixed)</t>
  </si>
  <si>
    <t xml:space="preserve">~18% upp</t>
  </si>
  <si>
    <t xml:space="preserve">Nästa kvartalsrapport (kolla finanskalender)</t>
  </si>
  <si>
    <t xml:space="preserve">Strukturell motvind: prispress, US-tullar 15%. Bull case: oral semaglutid, MASH-godkännande.</t>
  </si>
  <si>
    <t xml:space="preserve">Behåll/Sälj (negativt sentiment)</t>
  </si>
  <si>
    <t xml:space="preserve">~6% upp</t>
  </si>
  <si>
    <t xml:space="preserve">Q1-rapport 7 maj 2026</t>
  </si>
  <si>
    <t xml:space="preserve">BofA underperform mar-26 (rkt 25). Nordea behåll (rkt 28). Affärsvärlden köp.</t>
  </si>
  <si>
    <t xml:space="preserve">Hold (övervägande)</t>
  </si>
  <si>
    <t xml:space="preserve">~25% upp</t>
  </si>
  <si>
    <t xml:space="preserve">Q1 release maj 2026</t>
  </si>
  <si>
    <t xml:space="preserve">Class action stämning, EPS-fall, transformationsår. Liten position.</t>
  </si>
  <si>
    <t xml:space="preserve">Buy (UBS uppgr.) / mixed</t>
  </si>
  <si>
    <t xml:space="preserve">~-2%</t>
  </si>
  <si>
    <t xml:space="preserve">Q1-rapport 29 apr 2026</t>
  </si>
  <si>
    <t xml:space="preserve">UBS uppgraderade till Buy 23 apr (rkt €31). Tysk regleringsomröstning 8 maj.</t>
  </si>
  <si>
    <t xml:space="preserve">Köp (samtliga större)</t>
  </si>
  <si>
    <t xml:space="preserve">~58% upp</t>
  </si>
  <si>
    <t xml:space="preserve">Q1 maj-26</t>
  </si>
  <si>
    <t xml:space="preserve">DNB Carnegie köp 390, SEB köp 285, ABG köp 415, Danske köp 330. Hög blankning ~9-11%. Partial profit-take?</t>
  </si>
  <si>
    <t xml:space="preserve">Köp (4 av 4)</t>
  </si>
  <si>
    <t xml:space="preserve">~96% upp</t>
  </si>
  <si>
    <t xml:space="preserve">Riktkurser 30-70 SEK historiskt. Indien-koncentration är största risken.</t>
  </si>
  <si>
    <t xml:space="preserve">–</t>
  </si>
  <si>
    <t xml:space="preserve">Q1 2026</t>
  </si>
  <si>
    <t xml:space="preserve">Strukturell svaghet IVF-sektorn.</t>
  </si>
  <si>
    <t xml:space="preserve">Husbils/marin-marknad svag.</t>
  </si>
  <si>
    <t xml:space="preserve">Behåll</t>
  </si>
  <si>
    <t xml:space="preserve">Q1-rapport (kolla)</t>
  </si>
  <si>
    <t xml:space="preserve">Investmentbolag handlas typiskt nära/under substansvärde.</t>
  </si>
  <si>
    <t xml:space="preserve">Stor överlapp med Investor B.</t>
  </si>
  <si>
    <t xml:space="preserve">Buy/Hold</t>
  </si>
  <si>
    <t xml:space="preserve">Stark utveckling.</t>
  </si>
  <si>
    <t xml:space="preserve">Du äger även exponering via Industrivärden.</t>
  </si>
  <si>
    <t xml:space="preserve">Småbolag - kolla Tradedesk/Investtech.</t>
  </si>
  <si>
    <t xml:space="preserve">Hold</t>
  </si>
  <si>
    <t xml:space="preserve">Räntekänslig fastighetsaktie.</t>
  </si>
  <si>
    <t xml:space="preserve">Stor vinnare (+289%).</t>
  </si>
  <si>
    <t xml:space="preserve">– (råvara)</t>
  </si>
  <si>
    <t xml:space="preserve">Löpande</t>
  </si>
  <si>
    <t xml:space="preserve">Stor allokering 9.6%.</t>
  </si>
  <si>
    <t xml:space="preserve">INVESTERINGSINTUITION – TRACKER</t>
  </si>
  <si>
    <t xml:space="preserve">Logga teser och förväntningar i förväg. Stäm av mot faktiskt utfall för att kalibrera intuition över tid.</t>
  </si>
  <si>
    <t xml:space="preserve">Datum</t>
  </si>
  <si>
    <t xml:space="preserve">Tes/Hypotes</t>
  </si>
  <si>
    <t xml:space="preserve">Förväntad utveckling</t>
  </si>
  <si>
    <t xml:space="preserve">Tidshorisont</t>
  </si>
  <si>
    <t xml:space="preserve">Konfidens (1-5)</t>
  </si>
  <si>
    <t xml:space="preserve">Verifieringsdatum</t>
  </si>
  <si>
    <t xml:space="preserve">Faktiskt utfall</t>
  </si>
  <si>
    <t xml:space="preserve">Lärdom/Reflektion</t>
  </si>
  <si>
    <t xml:space="preserve">2026-04-29</t>
  </si>
  <si>
    <t xml:space="preserve">UBS-uppgr. och tysk regleringsomröstning 8 maj kommer pressa upp aktien</t>
  </si>
  <si>
    <t xml:space="preserve">Upp 10-20% nästa 3 månader</t>
  </si>
  <si>
    <t xml:space="preserve">3 månader</t>
  </si>
  <si>
    <t xml:space="preserve">2026-07-29</t>
  </si>
  <si>
    <t xml:space="preserve">TRANSAKTIONER – DANSKE BANK (depå 3023140659)</t>
  </si>
  <si>
    <t xml:space="preserve">Komplett historik från 2021-05-04 till 2026-04-24. Totalt 253 rader. Carnegie-transaktioner saknas (endast realiserad rapport tillgänglig - se 'Realiserad historik').</t>
  </si>
  <si>
    <t xml:space="preserve">Affärsdatum</t>
  </si>
  <si>
    <t xml:space="preserve">Likviddatum</t>
  </si>
  <si>
    <t xml:space="preserve">Aktiv idag</t>
  </si>
  <si>
    <t xml:space="preserve">Ordertyp</t>
  </si>
  <si>
    <t xml:space="preserve">Courtage</t>
  </si>
  <si>
    <t xml:space="preserve">Likvidbelopp (SEK)</t>
  </si>
  <si>
    <t xml:space="preserve">2026-04-24</t>
  </si>
  <si>
    <t xml:space="preserve">2026-04-28</t>
  </si>
  <si>
    <t xml:space="preserve">ISHARES EURO STO</t>
  </si>
  <si>
    <t xml:space="preserve">Ja</t>
  </si>
  <si>
    <t xml:space="preserve">Order markn.pris</t>
  </si>
  <si>
    <t xml:space="preserve">3023140659</t>
  </si>
  <si>
    <t xml:space="preserve">2026-04-20</t>
  </si>
  <si>
    <t xml:space="preserve">Utdelning</t>
  </si>
  <si>
    <t xml:space="preserve">2026-04-07</t>
  </si>
  <si>
    <t xml:space="preserve">2026-03-31</t>
  </si>
  <si>
    <t xml:space="preserve">2026-02-20</t>
  </si>
  <si>
    <t xml:space="preserve">2026-02-24</t>
  </si>
  <si>
    <t xml:space="preserve">DI SE SmåbolagSA</t>
  </si>
  <si>
    <t xml:space="preserve">Fondorder</t>
  </si>
  <si>
    <t xml:space="preserve">2026-01-09</t>
  </si>
  <si>
    <t xml:space="preserve">2026-01-13</t>
  </si>
  <si>
    <t xml:space="preserve">Order med limit</t>
  </si>
  <si>
    <t xml:space="preserve">2026-01-07</t>
  </si>
  <si>
    <t xml:space="preserve">2025-12-05</t>
  </si>
  <si>
    <t xml:space="preserve">2025-12-08</t>
  </si>
  <si>
    <t xml:space="preserve">2025-11-13</t>
  </si>
  <si>
    <t xml:space="preserve">2025-10-24</t>
  </si>
  <si>
    <t xml:space="preserve">2025-10-03</t>
  </si>
  <si>
    <t xml:space="preserve">2025-10-06</t>
  </si>
  <si>
    <t xml:space="preserve">2025-10-07</t>
  </si>
  <si>
    <t xml:space="preserve">2025-09-15</t>
  </si>
  <si>
    <t xml:space="preserve">2025-09-17</t>
  </si>
  <si>
    <t xml:space="preserve">2025-08-26</t>
  </si>
  <si>
    <t xml:space="preserve">2025-08-28</t>
  </si>
  <si>
    <t xml:space="preserve">iShs PhysicalGld</t>
  </si>
  <si>
    <t xml:space="preserve">Överföring ingång</t>
  </si>
  <si>
    <t xml:space="preserve">Xtr ArtUSD1CACH</t>
  </si>
  <si>
    <t xml:space="preserve">Överf. utg.</t>
  </si>
  <si>
    <t xml:space="preserve">2025-08-19</t>
  </si>
  <si>
    <t xml:space="preserve">2025-08-21</t>
  </si>
  <si>
    <t xml:space="preserve">2025-08-18</t>
  </si>
  <si>
    <t xml:space="preserve">2025-08-20</t>
  </si>
  <si>
    <t xml:space="preserve">Handel m b lager</t>
  </si>
  <si>
    <t xml:space="preserve">2025-07-22</t>
  </si>
  <si>
    <t xml:space="preserve">2025-07-24</t>
  </si>
  <si>
    <t xml:space="preserve">2025-07-03</t>
  </si>
  <si>
    <t xml:space="preserve">2025-05-14</t>
  </si>
  <si>
    <t xml:space="preserve">2025-05-07</t>
  </si>
  <si>
    <t xml:space="preserve">2025-04-17</t>
  </si>
  <si>
    <t xml:space="preserve">2025-04-10</t>
  </si>
  <si>
    <t xml:space="preserve">2025-04-14</t>
  </si>
  <si>
    <t xml:space="preserve">2025-04-08</t>
  </si>
  <si>
    <t xml:space="preserve">2025-04-03</t>
  </si>
  <si>
    <t xml:space="preserve">2025-04-07</t>
  </si>
  <si>
    <t xml:space="preserve">iShsS&amp;P500T USD</t>
  </si>
  <si>
    <t xml:space="preserve">DIS Glb Index SA</t>
  </si>
  <si>
    <t xml:space="preserve">Ish Helt Car USD</t>
  </si>
  <si>
    <t xml:space="preserve">Nej</t>
  </si>
  <si>
    <t xml:space="preserve">SSgA 2000 SM USD</t>
  </si>
  <si>
    <t xml:space="preserve">2025-04-01</t>
  </si>
  <si>
    <t xml:space="preserve">2025-02-12</t>
  </si>
  <si>
    <t xml:space="preserve">2025-02-14</t>
  </si>
  <si>
    <t xml:space="preserve">2025-01-29</t>
  </si>
  <si>
    <t xml:space="preserve">2025-01-31</t>
  </si>
  <si>
    <t xml:space="preserve">2025-01-28</t>
  </si>
  <si>
    <t xml:space="preserve">2025-01-30</t>
  </si>
  <si>
    <t xml:space="preserve">PNSverigeAktivAc</t>
  </si>
  <si>
    <t xml:space="preserve">2025-01-27</t>
  </si>
  <si>
    <t xml:space="preserve">2025-01-22</t>
  </si>
  <si>
    <t xml:space="preserve">2025-01-24</t>
  </si>
  <si>
    <t xml:space="preserve">2025-01-15</t>
  </si>
  <si>
    <t xml:space="preserve">2025-01-17</t>
  </si>
  <si>
    <t xml:space="preserve">2024-11-14</t>
  </si>
  <si>
    <t xml:space="preserve">2024-11-13</t>
  </si>
  <si>
    <t xml:space="preserve">2024-11-15</t>
  </si>
  <si>
    <t xml:space="preserve">Ericsson B</t>
  </si>
  <si>
    <t xml:space="preserve">2024-11-12</t>
  </si>
  <si>
    <t xml:space="preserve">2024-11-06</t>
  </si>
  <si>
    <t xml:space="preserve">2024-11-08</t>
  </si>
  <si>
    <t xml:space="preserve">2024-10-25</t>
  </si>
  <si>
    <t xml:space="preserve">2024-10-29</t>
  </si>
  <si>
    <t xml:space="preserve">2024-10-17</t>
  </si>
  <si>
    <t xml:space="preserve">2024-10-21</t>
  </si>
  <si>
    <t xml:space="preserve">Nokia Oyj (SE)</t>
  </si>
  <si>
    <t xml:space="preserve">2024-10-15</t>
  </si>
  <si>
    <t xml:space="preserve">Resurs Holding</t>
  </si>
  <si>
    <t xml:space="preserve">2024-10-09</t>
  </si>
  <si>
    <t xml:space="preserve">2024-10-07</t>
  </si>
  <si>
    <t xml:space="preserve">2024-08-05</t>
  </si>
  <si>
    <t xml:space="preserve">2024-05-15</t>
  </si>
  <si>
    <t xml:space="preserve">2024-05-14</t>
  </si>
  <si>
    <t xml:space="preserve">Fenix Outdoor SE</t>
  </si>
  <si>
    <t xml:space="preserve">2024-05-10</t>
  </si>
  <si>
    <t xml:space="preserve">2024-05-08</t>
  </si>
  <si>
    <t xml:space="preserve">2024-05-13</t>
  </si>
  <si>
    <t xml:space="preserve">Handelsbanken A</t>
  </si>
  <si>
    <t xml:space="preserve">Neobo Fastigh AB</t>
  </si>
  <si>
    <t xml:space="preserve">Samhallsb Nord B</t>
  </si>
  <si>
    <t xml:space="preserve">Swedbank AB A</t>
  </si>
  <si>
    <t xml:space="preserve">2024-05-07</t>
  </si>
  <si>
    <t xml:space="preserve">2024-04-18</t>
  </si>
  <si>
    <t xml:space="preserve">2024-04-10</t>
  </si>
  <si>
    <t xml:space="preserve">2024-04-09</t>
  </si>
  <si>
    <t xml:space="preserve">2024-04-04</t>
  </si>
  <si>
    <t xml:space="preserve">2024-03-27</t>
  </si>
  <si>
    <t xml:space="preserve">2024-03-06</t>
  </si>
  <si>
    <t xml:space="preserve">2024-02-12</t>
  </si>
  <si>
    <t xml:space="preserve">2024-01-23</t>
  </si>
  <si>
    <t xml:space="preserve">2024-01-22</t>
  </si>
  <si>
    <t xml:space="preserve">2024-01-24</t>
  </si>
  <si>
    <t xml:space="preserve">2023-11-27</t>
  </si>
  <si>
    <t xml:space="preserve">2023-11-22</t>
  </si>
  <si>
    <t xml:space="preserve">2023-11-24</t>
  </si>
  <si>
    <t xml:space="preserve">2023-11-09</t>
  </si>
  <si>
    <t xml:space="preserve">2023-11-08</t>
  </si>
  <si>
    <t xml:space="preserve">2023-11-10</t>
  </si>
  <si>
    <t xml:space="preserve">2023-11-06</t>
  </si>
  <si>
    <t xml:space="preserve">2023-10-18</t>
  </si>
  <si>
    <t xml:space="preserve">2023-10-17</t>
  </si>
  <si>
    <t xml:space="preserve">2023-10-19</t>
  </si>
  <si>
    <t xml:space="preserve">SE-Banken A</t>
  </si>
  <si>
    <t xml:space="preserve">2023-10-06</t>
  </si>
  <si>
    <t xml:space="preserve">2023-10-05</t>
  </si>
  <si>
    <t xml:space="preserve">2023-10-04</t>
  </si>
  <si>
    <t xml:space="preserve">2023-09-14</t>
  </si>
  <si>
    <t xml:space="preserve">Microsoft Corp.</t>
  </si>
  <si>
    <t xml:space="preserve">2023-08-21</t>
  </si>
  <si>
    <t xml:space="preserve">2023-08-23</t>
  </si>
  <si>
    <t xml:space="preserve">Sampo Oyj A OLD</t>
  </si>
  <si>
    <t xml:space="preserve">Solid Forsakring</t>
  </si>
  <si>
    <t xml:space="preserve">Sandvik AB</t>
  </si>
  <si>
    <t xml:space="preserve">Ørsted</t>
  </si>
  <si>
    <t xml:space="preserve">Essity Aktie B</t>
  </si>
  <si>
    <t xml:space="preserve">Alphabet C</t>
  </si>
  <si>
    <t xml:space="preserve">Alleima AB</t>
  </si>
  <si>
    <t xml:space="preserve">2023-08-07</t>
  </si>
  <si>
    <t xml:space="preserve">2023-06-08</t>
  </si>
  <si>
    <t xml:space="preserve">2023-06-12</t>
  </si>
  <si>
    <t xml:space="preserve">Isinbyt,ny</t>
  </si>
  <si>
    <t xml:space="preserve">Castellum BTA</t>
  </si>
  <si>
    <t xml:space="preserve">Isinbyt,gl.</t>
  </si>
  <si>
    <t xml:space="preserve">2023-06-05</t>
  </si>
  <si>
    <t xml:space="preserve">2023-05-31</t>
  </si>
  <si>
    <t xml:space="preserve">2023-05-29</t>
  </si>
  <si>
    <t xml:space="preserve">Teck, ny ak</t>
  </si>
  <si>
    <t xml:space="preserve">Castellum AB TR</t>
  </si>
  <si>
    <t xml:space="preserve">Teckrätt, ut</t>
  </si>
  <si>
    <t xml:space="preserve">2023-05-24</t>
  </si>
  <si>
    <t xml:space="preserve">2023-05-26</t>
  </si>
  <si>
    <t xml:space="preserve">2023-05-23</t>
  </si>
  <si>
    <t xml:space="preserve">Innehavet låst</t>
  </si>
  <si>
    <t xml:space="preserve">2023-05-12</t>
  </si>
  <si>
    <t xml:space="preserve">2023-05-11</t>
  </si>
  <si>
    <t xml:space="preserve">2023-05-15</t>
  </si>
  <si>
    <t xml:space="preserve">Tilldel av rätt</t>
  </si>
  <si>
    <t xml:space="preserve">2023-05-10</t>
  </si>
  <si>
    <t xml:space="preserve">2023-05-09</t>
  </si>
  <si>
    <t xml:space="preserve">2023-05-08</t>
  </si>
  <si>
    <t xml:space="preserve">2023-05-05</t>
  </si>
  <si>
    <t xml:space="preserve">2023-05-04</t>
  </si>
  <si>
    <t xml:space="preserve">2023-05-03</t>
  </si>
  <si>
    <t xml:space="preserve">2023-04-24</t>
  </si>
  <si>
    <t xml:space="preserve">2023-04-13</t>
  </si>
  <si>
    <t xml:space="preserve">2023-04-06</t>
  </si>
  <si>
    <t xml:space="preserve">2023-04-05</t>
  </si>
  <si>
    <t xml:space="preserve">2023-03-29</t>
  </si>
  <si>
    <t xml:space="preserve">2023-03-10</t>
  </si>
  <si>
    <t xml:space="preserve">2023-03-09</t>
  </si>
  <si>
    <t xml:space="preserve">2023-03-03</t>
  </si>
  <si>
    <t xml:space="preserve">2023-02-23</t>
  </si>
  <si>
    <t xml:space="preserve">2023-02-27</t>
  </si>
  <si>
    <t xml:space="preserve">2023-02-13</t>
  </si>
  <si>
    <t xml:space="preserve">2023-02-03</t>
  </si>
  <si>
    <t xml:space="preserve">2023-01-23</t>
  </si>
  <si>
    <t xml:space="preserve">2023-01-25</t>
  </si>
  <si>
    <t xml:space="preserve">2023-01-04</t>
  </si>
  <si>
    <t xml:space="preserve">2022-12-27</t>
  </si>
  <si>
    <t xml:space="preserve">2022-12-30</t>
  </si>
  <si>
    <t xml:space="preserve">Fission, ny</t>
  </si>
  <si>
    <t xml:space="preserve">Fission, gl.</t>
  </si>
  <si>
    <t xml:space="preserve">2022-12-08</t>
  </si>
  <si>
    <t xml:space="preserve">2022-12-05</t>
  </si>
  <si>
    <t xml:space="preserve">2022-11-16</t>
  </si>
  <si>
    <t xml:space="preserve">2022-11-18</t>
  </si>
  <si>
    <t xml:space="preserve">2022-11-10</t>
  </si>
  <si>
    <t xml:space="preserve">2022-11-09</t>
  </si>
  <si>
    <t xml:space="preserve">2022-11-11</t>
  </si>
  <si>
    <t xml:space="preserve">NovoNordisB OLD</t>
  </si>
  <si>
    <t xml:space="preserve">2022-11-03</t>
  </si>
  <si>
    <t xml:space="preserve">2022-10-20</t>
  </si>
  <si>
    <t xml:space="preserve">2022-10-10</t>
  </si>
  <si>
    <t xml:space="preserve">2022-10-12</t>
  </si>
  <si>
    <t xml:space="preserve">2022-10-07</t>
  </si>
  <si>
    <t xml:space="preserve">2022-10-06</t>
  </si>
  <si>
    <t xml:space="preserve">NKT A/S</t>
  </si>
  <si>
    <t xml:space="preserve">2022-10-05</t>
  </si>
  <si>
    <t xml:space="preserve">2022-09-13</t>
  </si>
  <si>
    <t xml:space="preserve">2022-09-15</t>
  </si>
  <si>
    <t xml:space="preserve">2022-09-08</t>
  </si>
  <si>
    <t xml:space="preserve">2022-09-05</t>
  </si>
  <si>
    <t xml:space="preserve">2022-08-31</t>
  </si>
  <si>
    <t xml:space="preserve">2022-09-02</t>
  </si>
  <si>
    <t xml:space="preserve">2022-08-26</t>
  </si>
  <si>
    <t xml:space="preserve">2022-08-15</t>
  </si>
  <si>
    <t xml:space="preserve">2022-08-17</t>
  </si>
  <si>
    <t xml:space="preserve">2022-08-03</t>
  </si>
  <si>
    <t xml:space="preserve">2022-07-18</t>
  </si>
  <si>
    <t xml:space="preserve">2022-07-20</t>
  </si>
  <si>
    <t xml:space="preserve">Aktiesplit, ny</t>
  </si>
  <si>
    <t xml:space="preserve">Aktiesplit, gl.</t>
  </si>
  <si>
    <t xml:space="preserve">2022-07-15</t>
  </si>
  <si>
    <t xml:space="preserve">2022-07-19</t>
  </si>
  <si>
    <t xml:space="preserve">2022-07-05</t>
  </si>
  <si>
    <t xml:space="preserve">2022-06-09</t>
  </si>
  <si>
    <t xml:space="preserve">2022-06-03</t>
  </si>
  <si>
    <t xml:space="preserve">2022-05-31</t>
  </si>
  <si>
    <t xml:space="preserve">2022-05-25</t>
  </si>
  <si>
    <t xml:space="preserve">2022-05-30</t>
  </si>
  <si>
    <t xml:space="preserve">Fastighets Bal B</t>
  </si>
  <si>
    <t xml:space="preserve">Fast.AB Ba B OLD</t>
  </si>
  <si>
    <t xml:space="preserve">2022-05-23</t>
  </si>
  <si>
    <t xml:space="preserve">2022-05-10</t>
  </si>
  <si>
    <t xml:space="preserve">2022-05-05</t>
  </si>
  <si>
    <t xml:space="preserve">2022-05-04</t>
  </si>
  <si>
    <t xml:space="preserve">2022-05-02</t>
  </si>
  <si>
    <t xml:space="preserve">2022-04-28</t>
  </si>
  <si>
    <t xml:space="preserve">2022-04-26</t>
  </si>
  <si>
    <t xml:space="preserve">2022-04-19</t>
  </si>
  <si>
    <t xml:space="preserve">Veoneer SDB</t>
  </si>
  <si>
    <t xml:space="preserve">Förfall värdelösa</t>
  </si>
  <si>
    <t xml:space="preserve">2022-04-13</t>
  </si>
  <si>
    <t xml:space="preserve">Telia Company AB</t>
  </si>
  <si>
    <t xml:space="preserve">2022-04-11</t>
  </si>
  <si>
    <t xml:space="preserve">2022-04-08</t>
  </si>
  <si>
    <t xml:space="preserve">2022-04-07</t>
  </si>
  <si>
    <t xml:space="preserve">2022-04-05</t>
  </si>
  <si>
    <t xml:space="preserve">2022-04-04</t>
  </si>
  <si>
    <t xml:space="preserve">2022-04-06</t>
  </si>
  <si>
    <t xml:space="preserve">Emission</t>
  </si>
  <si>
    <t xml:space="preserve">2022-03-31</t>
  </si>
  <si>
    <t xml:space="preserve">2022-03-10</t>
  </si>
  <si>
    <t xml:space="preserve">2022-02-24</t>
  </si>
  <si>
    <t xml:space="preserve">2022-02-28</t>
  </si>
  <si>
    <t xml:space="preserve">2022-02-17</t>
  </si>
  <si>
    <t xml:space="preserve">2022-02-21</t>
  </si>
  <si>
    <t xml:space="preserve">2022-02-16</t>
  </si>
  <si>
    <t xml:space="preserve">2022-02-18</t>
  </si>
  <si>
    <t xml:space="preserve">2021-12-09</t>
  </si>
  <si>
    <t xml:space="preserve">2021-11-26</t>
  </si>
  <si>
    <t xml:space="preserve">2021-12-01</t>
  </si>
  <si>
    <t xml:space="preserve">2021-11-22</t>
  </si>
  <si>
    <t xml:space="preserve">2021-11-24</t>
  </si>
  <si>
    <t xml:space="preserve">2021-11-17</t>
  </si>
  <si>
    <t xml:space="preserve">2021-11-19</t>
  </si>
  <si>
    <t xml:space="preserve">2021-11-11</t>
  </si>
  <si>
    <t xml:space="preserve">2021-11-09</t>
  </si>
  <si>
    <t xml:space="preserve">2021-11-02</t>
  </si>
  <si>
    <t xml:space="preserve">2021-11-04</t>
  </si>
  <si>
    <t xml:space="preserve">2021-10-28</t>
  </si>
  <si>
    <t xml:space="preserve">2021-11-01</t>
  </si>
  <si>
    <t xml:space="preserve">2021-09-30</t>
  </si>
  <si>
    <t xml:space="preserve">2021-09-10</t>
  </si>
  <si>
    <t xml:space="preserve">2021-06-17</t>
  </si>
  <si>
    <t xml:space="preserve">2021-06-21</t>
  </si>
  <si>
    <t xml:space="preserve">Sinch AB OLD</t>
  </si>
  <si>
    <t xml:space="preserve">2021-06-11</t>
  </si>
  <si>
    <t xml:space="preserve">2021-06-15</t>
  </si>
  <si>
    <t xml:space="preserve">Camurus AB</t>
  </si>
  <si>
    <t xml:space="preserve">Orron Ener Rg</t>
  </si>
  <si>
    <t xml:space="preserve">2021-05-19</t>
  </si>
  <si>
    <t xml:space="preserve">2021-05-21</t>
  </si>
  <si>
    <t xml:space="preserve">Investor AB B OL</t>
  </si>
  <si>
    <t xml:space="preserve">2021-05-12</t>
  </si>
  <si>
    <t xml:space="preserve">2021-05-11</t>
  </si>
  <si>
    <t xml:space="preserve">2021-05-14</t>
  </si>
  <si>
    <t xml:space="preserve">Swedish Match</t>
  </si>
  <si>
    <t xml:space="preserve">2021-05-07</t>
  </si>
  <si>
    <t xml:space="preserve">Swedish MatchOLD</t>
  </si>
  <si>
    <t xml:space="preserve">2021-05-05</t>
  </si>
  <si>
    <t xml:space="preserve">2021-05-04</t>
  </si>
  <si>
    <t xml:space="preserve">REALISERAD AVKASTNING – HISTORIK SEDAN 2020</t>
  </si>
  <si>
    <t xml:space="preserve">Carnegie ISK från officiell rapport 2020-2026. Danske från transaktionsfilen 2021-2026 (köp/sälj av positioner som inte längre ägs).</t>
  </si>
  <si>
    <t xml:space="preserve">CARNEGIE – REALISERADE VINSTER/FÖRLUSTER PÅ AKTIER</t>
  </si>
  <si>
    <t xml:space="preserve">Försäljningsbelopp</t>
  </si>
  <si>
    <t xml:space="preserve">Anskaffningsbelopp</t>
  </si>
  <si>
    <t xml:space="preserve">Realiserad vinst/förlust</t>
  </si>
  <si>
    <t xml:space="preserve">Kommentar</t>
  </si>
  <si>
    <t xml:space="preserve">2020-01-31</t>
  </si>
  <si>
    <t xml:space="preserve">2020-03-02</t>
  </si>
  <si>
    <t xml:space="preserve">2020-04-02</t>
  </si>
  <si>
    <t xml:space="preserve">2020-09-03</t>
  </si>
  <si>
    <t xml:space="preserve">2024-04-25</t>
  </si>
  <si>
    <t xml:space="preserve">Atlas Copco A</t>
  </si>
  <si>
    <t xml:space="preserve">2022-08-19</t>
  </si>
  <si>
    <t xml:space="preserve">BICO Group</t>
  </si>
  <si>
    <t xml:space="preserve">2025-09-09</t>
  </si>
  <si>
    <t xml:space="preserve">Stor förlust</t>
  </si>
  <si>
    <t xml:space="preserve">2020-09-28</t>
  </si>
  <si>
    <t xml:space="preserve">2023-02-02</t>
  </si>
  <si>
    <t xml:space="preserve">2023-12-06</t>
  </si>
  <si>
    <t xml:space="preserve">2024-04-08</t>
  </si>
  <si>
    <t xml:space="preserve">Största enskilda vinst</t>
  </si>
  <si>
    <t xml:space="preserve">Calliditas Therapeutics</t>
  </si>
  <si>
    <t xml:space="preserve">Camurus</t>
  </si>
  <si>
    <t xml:space="preserve">2021-05-28</t>
  </si>
  <si>
    <t xml:space="preserve">Cell Impact B</t>
  </si>
  <si>
    <t xml:space="preserve">Embracer Group B</t>
  </si>
  <si>
    <t xml:space="preserve">2025-01-23</t>
  </si>
  <si>
    <t xml:space="preserve">Småpost</t>
  </si>
  <si>
    <t xml:space="preserve">2025-09-11</t>
  </si>
  <si>
    <t xml:space="preserve">Embracer Group B3</t>
  </si>
  <si>
    <t xml:space="preserve">2022-06-08</t>
  </si>
  <si>
    <t xml:space="preserve">Enad Global 7</t>
  </si>
  <si>
    <t xml:space="preserve">2020-12-22</t>
  </si>
  <si>
    <t xml:space="preserve">2021-01-20</t>
  </si>
  <si>
    <t xml:space="preserve">2021-12-15</t>
  </si>
  <si>
    <t xml:space="preserve">Essity B</t>
  </si>
  <si>
    <t xml:space="preserve">IRRAS</t>
  </si>
  <si>
    <t xml:space="preserve">2020-03-03</t>
  </si>
  <si>
    <t xml:space="preserve">Millicom Int. Cellular SDB</t>
  </si>
  <si>
    <t xml:space="preserve">2021-02-12</t>
  </si>
  <si>
    <t xml:space="preserve">NCC B</t>
  </si>
  <si>
    <t xml:space="preserve">2024-07-11</t>
  </si>
  <si>
    <t xml:space="preserve">Nibe Industrier B</t>
  </si>
  <si>
    <t xml:space="preserve">Ninety One Global Env Fund</t>
  </si>
  <si>
    <t xml:space="preserve">Oncopeptides</t>
  </si>
  <si>
    <t xml:space="preserve">2021-10-22</t>
  </si>
  <si>
    <t xml:space="preserve">SCA B</t>
  </si>
  <si>
    <t xml:space="preserve">SMART EYE</t>
  </si>
  <si>
    <t xml:space="preserve">SSAB B</t>
  </si>
  <si>
    <t xml:space="preserve">2022-03-29</t>
  </si>
  <si>
    <t xml:space="preserve">Största vinst i tabellen</t>
  </si>
  <si>
    <t xml:space="preserve">Stora Enso R</t>
  </si>
  <si>
    <t xml:space="preserve">Tele2 B</t>
  </si>
  <si>
    <t xml:space="preserve">2024-09-10</t>
  </si>
  <si>
    <t xml:space="preserve">Thule Group</t>
  </si>
  <si>
    <t xml:space="preserve">SUMMA AKTIER</t>
  </si>
  <si>
    <t xml:space="preserve">CARNEGIE – ÖVRIGA REALISERADE POSTER</t>
  </si>
  <si>
    <t xml:space="preserve">Räntepapper (Autocirc)</t>
  </si>
  <si>
    <t xml:space="preserve">Förfallen ränteobligation</t>
  </si>
  <si>
    <t xml:space="preserve">Asmodee Group B</t>
  </si>
  <si>
    <t xml:space="preserve">Övriga värdepapper</t>
  </si>
  <si>
    <t xml:space="preserve">JPMorgan EM Local Currency Bond ETF</t>
  </si>
  <si>
    <t xml:space="preserve">2026-01-12</t>
  </si>
  <si>
    <t xml:space="preserve">Q-Linea</t>
  </si>
  <si>
    <t xml:space="preserve">2025-11-03</t>
  </si>
  <si>
    <t xml:space="preserve">Q-Linea TR</t>
  </si>
  <si>
    <t xml:space="preserve">Teckningsrätt</t>
  </si>
  <si>
    <t xml:space="preserve">Storskogen ränteobligation</t>
  </si>
  <si>
    <t xml:space="preserve">2025-06-11</t>
  </si>
  <si>
    <t xml:space="preserve">Verisure PLC</t>
  </si>
  <si>
    <t xml:space="preserve">2025-10-08</t>
  </si>
  <si>
    <t xml:space="preserve">SUMMA ÖVRIGA</t>
  </si>
  <si>
    <t xml:space="preserve">TOTAL REALISERAD CARNEGIE (ex utdelningar/räntor)</t>
  </si>
  <si>
    <t xml:space="preserve">DANSKE – SÅLDA POSITIONER (ej längre i portföljen)</t>
  </si>
  <si>
    <t xml:space="preserve">Total köpt (SEK)</t>
  </si>
  <si>
    <t xml:space="preserve">Total sålt (SEK)</t>
  </si>
  <si>
    <t xml:space="preserve">Realiserat (SEK)</t>
  </si>
  <si>
    <t xml:space="preserve">Utdelning (SEK)</t>
  </si>
  <si>
    <t xml:space="preserve">Totalt (SEK)</t>
  </si>
  <si>
    <t xml:space="preserve">TOTAL DANSKE SÅLDA</t>
  </si>
  <si>
    <t xml:space="preserve">OBS: Danske 'Realiserat' är beräknat som (försäljningsbelopp - inköpsbelopp) från transaktionsfilen. Detta motsvarar inte exakt skattemässig vinst/förlust eftersom GAV beräknas enligt genomsnittsmetoden vilket kan skilja sig från ren summering. För skatteändamål, använd Carnegie-rapporten direkt eller motsvarande från Danske.</t>
  </si>
  <si>
    <t xml:space="preserve">UTDELNINGAR &amp; RÄNTOR – KOMBINERAT</t>
  </si>
  <si>
    <t xml:space="preserve">Per värdepapper, summerat över alla år. Detalj på datumnivå finns i Transaktioner-fliken (Danske) och Carnegie-rapporten.</t>
  </si>
  <si>
    <t xml:space="preserve">DANSKE BANK – UTDELNINGAR PER VÄRDEPAPPER</t>
  </si>
  <si>
    <t xml:space="preserve">Total utdelning (SEK)</t>
  </si>
  <si>
    <t xml:space="preserve">Antal utbetalningar</t>
  </si>
  <si>
    <t xml:space="preserve">Första utbetalning</t>
  </si>
  <si>
    <t xml:space="preserve">Senaste utbetalning</t>
  </si>
  <si>
    <t xml:space="preserve">SUMMA DANSKE</t>
  </si>
  <si>
    <t xml:space="preserve">CARNEGIE ISK – UTDELNINGAR PER VÄRDEPAPPER</t>
  </si>
  <si>
    <t xml:space="preserve">SUMMA CARNEGIE</t>
  </si>
  <si>
    <t xml:space="preserve">CARNEGIE – RÄNTOR (Autocirc + Storskogen + småränta)</t>
  </si>
  <si>
    <t xml:space="preserve">TOTAL RÄNTOR CARNEGIE 2020-2026</t>
  </si>
  <si>
    <t xml:space="preserve">TOTAL UTDELNINGAR &amp; RÄNTOR (BÅDA DEPÅER)</t>
  </si>
  <si>
    <t xml:space="preserve">Danske utdelningar</t>
  </si>
  <si>
    <t xml:space="preserve">Carnegie utdelningar</t>
  </si>
  <si>
    <t xml:space="preserve">Carnegie räntor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</si>
</sst>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#,##0"/>
    <numFmt numFmtId="168" formatCode="#,##0.00"/>
    <numFmt numFmtId="169" formatCode="0.00"/>
    <numFmt numFmtId="170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6" min="5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n">
        <v>8310367</v>
      </c>
      <c r="C6" s="6" t="n">
        <v>7327748</v>
      </c>
      <c r="D6" s="6" t="n">
        <f aca="false">B6-C6</f>
        <v>982619</v>
      </c>
      <c r="E6" s="7" t="n">
        <f aca="false">D6/C6</f>
        <v>0.13409563210962</v>
      </c>
      <c r="F6" s="7" t="n">
        <f aca="false">B6/B8</f>
        <v>0.669363844881659</v>
      </c>
    </row>
    <row r="7" customFormat="false" ht="15" hidden="false" customHeight="false" outlineLevel="0" collapsed="false">
      <c r="A7" s="5" t="s">
        <v>10</v>
      </c>
      <c r="B7" s="6" t="n">
        <v>4104954</v>
      </c>
      <c r="C7" s="6" t="n">
        <v>3295116</v>
      </c>
      <c r="D7" s="6" t="n">
        <v>809838</v>
      </c>
      <c r="E7" s="7" t="n">
        <f aca="false">D7/C7</f>
        <v>0.245769192951022</v>
      </c>
      <c r="F7" s="7" t="n">
        <f aca="false">B7/B8</f>
        <v>0.330636155118341</v>
      </c>
    </row>
    <row r="8" customFormat="false" ht="15" hidden="false" customHeight="false" outlineLevel="0" collapsed="false">
      <c r="A8" s="8" t="s">
        <v>11</v>
      </c>
      <c r="B8" s="9" t="n">
        <f aca="false">SUM(B6:B7)</f>
        <v>12415321</v>
      </c>
      <c r="C8" s="9" t="n">
        <f aca="false">SUM(C6:C7)</f>
        <v>10622864</v>
      </c>
      <c r="D8" s="9" t="n">
        <f aca="false">SUM(D6:D7)</f>
        <v>1792457</v>
      </c>
      <c r="E8" s="10" t="n">
        <f aca="false">D8/C8</f>
        <v>0.168735757136682</v>
      </c>
      <c r="F8" s="10" t="n">
        <f aca="false">SUM(F6:F7)</f>
        <v>1</v>
      </c>
    </row>
    <row r="10" customFormat="false" ht="15" hidden="false" customHeight="false" outlineLevel="0" collapsed="false">
      <c r="A10" s="3" t="s">
        <v>12</v>
      </c>
      <c r="B10" s="3"/>
      <c r="C10" s="3"/>
      <c r="D10" s="3"/>
      <c r="E10" s="3"/>
      <c r="F10" s="3"/>
    </row>
    <row r="11" customFormat="false" ht="15" hidden="false" customHeight="false" outlineLevel="0" collapsed="false">
      <c r="A11" s="11" t="s">
        <v>13</v>
      </c>
      <c r="B11" s="11" t="s">
        <v>14</v>
      </c>
      <c r="C11" s="11" t="s">
        <v>15</v>
      </c>
      <c r="D11" s="11" t="s">
        <v>16</v>
      </c>
      <c r="E11" s="11" t="s">
        <v>17</v>
      </c>
    </row>
    <row r="12" customFormat="false" ht="15" hidden="false" customHeight="false" outlineLevel="0" collapsed="false">
      <c r="A12" s="5" t="s">
        <v>18</v>
      </c>
      <c r="B12" s="6" t="n">
        <v>276115</v>
      </c>
      <c r="C12" s="6" t="n">
        <v>563003</v>
      </c>
      <c r="D12" s="6" t="n">
        <v>476901</v>
      </c>
      <c r="E12" s="6" t="n">
        <f aca="false">B12+C12+D12</f>
        <v>1316019</v>
      </c>
    </row>
    <row r="13" customFormat="false" ht="15" hidden="false" customHeight="false" outlineLevel="0" collapsed="false">
      <c r="A13" s="5" t="s">
        <v>19</v>
      </c>
      <c r="B13" s="12" t="s">
        <v>20</v>
      </c>
      <c r="C13" s="6" t="n">
        <v>499216</v>
      </c>
      <c r="D13" s="6" t="n">
        <v>0</v>
      </c>
      <c r="E13" s="6" t="n">
        <f aca="false">C13+D13</f>
        <v>499216</v>
      </c>
    </row>
    <row r="14" customFormat="false" ht="15" hidden="false" customHeight="false" outlineLevel="0" collapsed="false">
      <c r="A14" s="8" t="s">
        <v>11</v>
      </c>
      <c r="B14" s="9" t="n">
        <f aca="false">B12</f>
        <v>276115</v>
      </c>
      <c r="C14" s="9" t="n">
        <f aca="false">C12+C13</f>
        <v>1062219</v>
      </c>
      <c r="D14" s="9" t="n">
        <f aca="false">D12+D13</f>
        <v>476901</v>
      </c>
      <c r="E14" s="9" t="n">
        <f aca="false">E12+E13</f>
        <v>1815235</v>
      </c>
    </row>
    <row r="16" customFormat="false" ht="15" hidden="false" customHeight="false" outlineLevel="0" collapsed="false">
      <c r="A16" s="3" t="s">
        <v>21</v>
      </c>
      <c r="B16" s="3"/>
      <c r="C16" s="3"/>
      <c r="D16" s="3"/>
      <c r="E16" s="3"/>
      <c r="F16" s="3"/>
    </row>
    <row r="17" customFormat="false" ht="15" hidden="false" customHeight="false" outlineLevel="0" collapsed="false">
      <c r="A17" s="11" t="s">
        <v>22</v>
      </c>
      <c r="B17" s="11" t="s">
        <v>23</v>
      </c>
      <c r="C17" s="11" t="s">
        <v>24</v>
      </c>
    </row>
    <row r="18" customFormat="false" ht="15" hidden="false" customHeight="false" outlineLevel="0" collapsed="false">
      <c r="A18" s="13" t="s">
        <v>25</v>
      </c>
      <c r="B18" s="14" t="n">
        <v>4595868</v>
      </c>
      <c r="C18" s="7" t="n">
        <f aca="false">B18/$B$24</f>
        <v>0.423832697473807</v>
      </c>
    </row>
    <row r="19" customFormat="false" ht="15" hidden="false" customHeight="false" outlineLevel="0" collapsed="false">
      <c r="A19" s="13" t="s">
        <v>26</v>
      </c>
      <c r="B19" s="14" t="n">
        <v>2406137</v>
      </c>
      <c r="C19" s="7" t="n">
        <f aca="false">B19/$B$24</f>
        <v>0.221894870610195</v>
      </c>
    </row>
    <row r="20" customFormat="false" ht="15" hidden="false" customHeight="false" outlineLevel="0" collapsed="false">
      <c r="A20" s="13" t="s">
        <v>27</v>
      </c>
      <c r="B20" s="14" t="n">
        <v>1690947</v>
      </c>
      <c r="C20" s="7" t="n">
        <f aca="false">B20/$B$24</f>
        <v>0.155939776402465</v>
      </c>
    </row>
    <row r="21" customFormat="false" ht="15" hidden="false" customHeight="false" outlineLevel="0" collapsed="false">
      <c r="A21" s="13" t="s">
        <v>28</v>
      </c>
      <c r="B21" s="14" t="n">
        <v>893861</v>
      </c>
      <c r="C21" s="7" t="n">
        <f aca="false">B21/$B$24</f>
        <v>0.0824322018814802</v>
      </c>
    </row>
    <row r="22" customFormat="false" ht="15" hidden="false" customHeight="false" outlineLevel="0" collapsed="false">
      <c r="A22" s="13" t="s">
        <v>29</v>
      </c>
      <c r="B22" s="14" t="n">
        <v>1195566</v>
      </c>
      <c r="C22" s="7" t="n">
        <f aca="false">B22/$B$24</f>
        <v>0.11025555189748</v>
      </c>
    </row>
    <row r="23" customFormat="false" ht="15" hidden="false" customHeight="false" outlineLevel="0" collapsed="false">
      <c r="A23" s="13" t="s">
        <v>30</v>
      </c>
      <c r="B23" s="14" t="n">
        <v>61211</v>
      </c>
      <c r="C23" s="7" t="n">
        <f aca="false">B23/$B$24</f>
        <v>0.00564490173457314</v>
      </c>
    </row>
    <row r="24" customFormat="false" ht="15" hidden="false" customHeight="false" outlineLevel="0" collapsed="false">
      <c r="A24" s="8" t="s">
        <v>11</v>
      </c>
      <c r="B24" s="15" t="n">
        <f aca="false">SUM(B18:B23)</f>
        <v>10843590</v>
      </c>
      <c r="C24" s="10" t="n">
        <f aca="false">SUM(C18:C23)</f>
        <v>1</v>
      </c>
    </row>
    <row r="26" customFormat="false" ht="15" hidden="false" customHeight="false" outlineLevel="0" collapsed="false">
      <c r="A26" s="3" t="s">
        <v>31</v>
      </c>
      <c r="B26" s="3"/>
      <c r="C26" s="3"/>
      <c r="D26" s="3"/>
      <c r="E26" s="3"/>
      <c r="F26" s="3"/>
    </row>
    <row r="27" customFormat="false" ht="15" hidden="false" customHeight="false" outlineLevel="0" collapsed="false">
      <c r="A27" s="11" t="s">
        <v>32</v>
      </c>
      <c r="B27" s="11" t="s">
        <v>23</v>
      </c>
      <c r="C27" s="11" t="s">
        <v>24</v>
      </c>
    </row>
    <row r="28" customFormat="false" ht="15" hidden="false" customHeight="false" outlineLevel="0" collapsed="false">
      <c r="A28" s="13" t="s">
        <v>33</v>
      </c>
      <c r="B28" s="16" t="n">
        <v>11106958</v>
      </c>
      <c r="C28" s="17" t="n">
        <f aca="false">B28/$B$32</f>
        <v>0.787087688008514</v>
      </c>
    </row>
    <row r="29" customFormat="false" ht="15" hidden="false" customHeight="false" outlineLevel="0" collapsed="false">
      <c r="A29" s="13" t="s">
        <v>34</v>
      </c>
      <c r="B29" s="16" t="n">
        <v>1573695</v>
      </c>
      <c r="C29" s="17" t="n">
        <f aca="false">B29/$B$32</f>
        <v>0.111518919868119</v>
      </c>
    </row>
    <row r="30" customFormat="false" ht="15" hidden="false" customHeight="false" outlineLevel="0" collapsed="false">
      <c r="A30" s="13" t="s">
        <v>35</v>
      </c>
      <c r="B30" s="16" t="n">
        <v>1140287</v>
      </c>
      <c r="C30" s="17" t="n">
        <f aca="false">B30/$B$32</f>
        <v>0.0808057308307247</v>
      </c>
    </row>
    <row r="31" customFormat="false" ht="15" hidden="false" customHeight="false" outlineLevel="0" collapsed="false">
      <c r="A31" s="13" t="s">
        <v>36</v>
      </c>
      <c r="B31" s="16" t="n">
        <v>290522</v>
      </c>
      <c r="C31" s="17" t="n">
        <f aca="false">B31/$B$32</f>
        <v>0.0205876612926428</v>
      </c>
    </row>
    <row r="32" customFormat="false" ht="15" hidden="false" customHeight="false" outlineLevel="0" collapsed="false">
      <c r="A32" s="8" t="s">
        <v>11</v>
      </c>
      <c r="B32" s="15" t="n">
        <f aca="false">SUM(B28:B31)</f>
        <v>14111462</v>
      </c>
      <c r="C32" s="10" t="n">
        <f aca="false">SUM(C28:C31)</f>
        <v>1</v>
      </c>
    </row>
    <row r="34" customFormat="false" ht="15" hidden="false" customHeight="false" outlineLevel="0" collapsed="false">
      <c r="A34" s="3" t="s">
        <v>37</v>
      </c>
      <c r="B34" s="3"/>
      <c r="C34" s="3"/>
      <c r="D34" s="3"/>
      <c r="E34" s="3"/>
      <c r="F34" s="3"/>
    </row>
    <row r="35" customFormat="false" ht="15" hidden="false" customHeight="false" outlineLevel="0" collapsed="false">
      <c r="A35" s="11" t="s">
        <v>38</v>
      </c>
      <c r="B35" s="11" t="s">
        <v>39</v>
      </c>
      <c r="C35" s="11" t="s">
        <v>24</v>
      </c>
      <c r="D35" s="11"/>
    </row>
    <row r="36" customFormat="false" ht="15" hidden="false" customHeight="false" outlineLevel="0" collapsed="false">
      <c r="A36" s="13" t="s">
        <v>40</v>
      </c>
      <c r="B36" s="18" t="s">
        <v>41</v>
      </c>
      <c r="C36" s="18" t="s">
        <v>42</v>
      </c>
      <c r="D36" s="18"/>
    </row>
    <row r="37" customFormat="false" ht="15" hidden="false" customHeight="false" outlineLevel="0" collapsed="false">
      <c r="A37" s="13" t="s">
        <v>43</v>
      </c>
      <c r="B37" s="18" t="s">
        <v>44</v>
      </c>
      <c r="C37" s="18" t="s">
        <v>45</v>
      </c>
      <c r="D37" s="18"/>
    </row>
    <row r="38" customFormat="false" ht="15" hidden="false" customHeight="false" outlineLevel="0" collapsed="false">
      <c r="A38" s="13" t="s">
        <v>46</v>
      </c>
      <c r="B38" s="18" t="s">
        <v>47</v>
      </c>
      <c r="C38" s="18" t="s">
        <v>48</v>
      </c>
      <c r="D38" s="18"/>
    </row>
    <row r="39" customFormat="false" ht="15" hidden="false" customHeight="false" outlineLevel="0" collapsed="false">
      <c r="A39" s="13" t="s">
        <v>49</v>
      </c>
      <c r="B39" s="18" t="s">
        <v>50</v>
      </c>
      <c r="C39" s="18" t="s">
        <v>51</v>
      </c>
      <c r="D39" s="18"/>
    </row>
    <row r="40" customFormat="false" ht="15" hidden="false" customHeight="false" outlineLevel="0" collapsed="false">
      <c r="A40" s="13" t="s">
        <v>52</v>
      </c>
      <c r="B40" s="18" t="s">
        <v>53</v>
      </c>
      <c r="C40" s="18" t="s">
        <v>54</v>
      </c>
      <c r="D40" s="18"/>
    </row>
    <row r="41" customFormat="false" ht="15" hidden="false" customHeight="false" outlineLevel="0" collapsed="false">
      <c r="A41" s="13" t="s">
        <v>55</v>
      </c>
      <c r="B41" s="18" t="s">
        <v>56</v>
      </c>
      <c r="C41" s="18" t="s">
        <v>57</v>
      </c>
      <c r="D41" s="18"/>
    </row>
  </sheetData>
  <mergeCells count="14">
    <mergeCell ref="A1:F1"/>
    <mergeCell ref="A2:F2"/>
    <mergeCell ref="A4:F4"/>
    <mergeCell ref="A10:F10"/>
    <mergeCell ref="A16:F16"/>
    <mergeCell ref="A26:F26"/>
    <mergeCell ref="A34:F34"/>
    <mergeCell ref="C35:D35"/>
    <mergeCell ref="C36:D36"/>
    <mergeCell ref="C37:D37"/>
    <mergeCell ref="C38:D38"/>
    <mergeCell ref="C39:D39"/>
    <mergeCell ref="C40:D40"/>
    <mergeCell ref="C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7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24"/>
  </cols>
  <sheetData>
    <row r="1" customFormat="false" ht="17.35" hidden="false" customHeight="fals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4.5" hidden="false" customHeight="true" outlineLevel="0" collapsed="false">
      <c r="A4" s="19" t="s">
        <v>3</v>
      </c>
      <c r="B4" s="19" t="s">
        <v>60</v>
      </c>
      <c r="C4" s="19" t="s">
        <v>61</v>
      </c>
      <c r="D4" s="19" t="s">
        <v>62</v>
      </c>
      <c r="E4" s="19" t="s">
        <v>32</v>
      </c>
      <c r="F4" s="19" t="s">
        <v>63</v>
      </c>
      <c r="G4" s="19" t="s">
        <v>4</v>
      </c>
      <c r="H4" s="19" t="s">
        <v>5</v>
      </c>
      <c r="I4" s="19" t="s">
        <v>64</v>
      </c>
      <c r="J4" s="19" t="s">
        <v>6</v>
      </c>
      <c r="K4" s="19" t="s">
        <v>7</v>
      </c>
      <c r="L4" s="19" t="s">
        <v>65</v>
      </c>
      <c r="M4" s="19" t="s">
        <v>66</v>
      </c>
    </row>
    <row r="5" customFormat="false" ht="15" hidden="false" customHeight="false" outlineLevel="0" collapsed="false">
      <c r="A5" s="5" t="s">
        <v>67</v>
      </c>
      <c r="B5" s="5" t="s">
        <v>68</v>
      </c>
      <c r="C5" s="20" t="n">
        <v>2106.67</v>
      </c>
      <c r="D5" s="20" t="n">
        <v>735.33</v>
      </c>
      <c r="E5" s="21" t="s">
        <v>33</v>
      </c>
      <c r="F5" s="22" t="n">
        <v>1</v>
      </c>
      <c r="G5" s="6" t="n">
        <v>1549097</v>
      </c>
      <c r="H5" s="6" t="n">
        <v>1079000</v>
      </c>
      <c r="I5" s="20" t="n">
        <v>512.182733888079</v>
      </c>
      <c r="J5" s="6" t="n">
        <f aca="false">G5-H5</f>
        <v>470097</v>
      </c>
      <c r="K5" s="7" t="n">
        <f aca="false">J5/H5</f>
        <v>0.435678405931418</v>
      </c>
      <c r="L5" s="7" t="n">
        <f aca="false">G5/$G$35</f>
        <v>0.124772992212929</v>
      </c>
      <c r="M5" s="5" t="s">
        <v>69</v>
      </c>
    </row>
    <row r="6" customFormat="false" ht="15" hidden="false" customHeight="false" outlineLevel="0" collapsed="false">
      <c r="A6" s="23" t="s">
        <v>67</v>
      </c>
      <c r="B6" s="23" t="s">
        <v>70</v>
      </c>
      <c r="C6" s="24" t="n">
        <v>3400</v>
      </c>
      <c r="D6" s="24" t="n">
        <v>370.6</v>
      </c>
      <c r="E6" s="25" t="s">
        <v>33</v>
      </c>
      <c r="F6" s="26" t="n">
        <v>1</v>
      </c>
      <c r="G6" s="27" t="n">
        <v>1260040</v>
      </c>
      <c r="H6" s="27" t="n">
        <v>772493</v>
      </c>
      <c r="I6" s="24" t="n">
        <v>227.203823529412</v>
      </c>
      <c r="J6" s="27" t="n">
        <f aca="false">G6-H6</f>
        <v>487547</v>
      </c>
      <c r="K6" s="28" t="n">
        <f aca="false">J6/H6</f>
        <v>0.631134521607316</v>
      </c>
      <c r="L6" s="28" t="n">
        <f aca="false">G6/$G$35</f>
        <v>0.101490714337436</v>
      </c>
      <c r="M6" s="23" t="s">
        <v>71</v>
      </c>
    </row>
    <row r="7" customFormat="false" ht="15" hidden="false" customHeight="false" outlineLevel="0" collapsed="false">
      <c r="A7" s="5" t="s">
        <v>67</v>
      </c>
      <c r="B7" s="5" t="s">
        <v>46</v>
      </c>
      <c r="C7" s="20" t="n">
        <v>1455</v>
      </c>
      <c r="D7" s="20" t="n">
        <v>88.68</v>
      </c>
      <c r="E7" s="21" t="s">
        <v>34</v>
      </c>
      <c r="F7" s="22" t="n">
        <v>9.27</v>
      </c>
      <c r="G7" s="6" t="n">
        <v>1195566</v>
      </c>
      <c r="H7" s="6" t="n">
        <v>650933</v>
      </c>
      <c r="I7" s="20" t="n">
        <v>48.2606938837547</v>
      </c>
      <c r="J7" s="6" t="n">
        <f aca="false">G7-H7</f>
        <v>544633</v>
      </c>
      <c r="K7" s="7" t="n">
        <f aca="false">J7/H7</f>
        <v>0.83669594259317</v>
      </c>
      <c r="L7" s="7" t="n">
        <f aca="false">G7/$G$35</f>
        <v>0.0962976154547087</v>
      </c>
      <c r="M7" s="5" t="s">
        <v>72</v>
      </c>
    </row>
    <row r="8" customFormat="false" ht="15" hidden="false" customHeight="false" outlineLevel="0" collapsed="false">
      <c r="A8" s="23" t="s">
        <v>67</v>
      </c>
      <c r="B8" s="23" t="s">
        <v>73</v>
      </c>
      <c r="C8" s="24" t="n">
        <v>188.78</v>
      </c>
      <c r="D8" s="24" t="n">
        <v>4110.51</v>
      </c>
      <c r="E8" s="25" t="s">
        <v>33</v>
      </c>
      <c r="F8" s="26" t="n">
        <v>1</v>
      </c>
      <c r="G8" s="27" t="n">
        <v>775997</v>
      </c>
      <c r="H8" s="27" t="n">
        <v>579937</v>
      </c>
      <c r="I8" s="24" t="n">
        <v>3072.02563830914</v>
      </c>
      <c r="J8" s="27" t="n">
        <f aca="false">G8-H8</f>
        <v>196060</v>
      </c>
      <c r="K8" s="28" t="n">
        <f aca="false">J8/H8</f>
        <v>0.338071204285983</v>
      </c>
      <c r="L8" s="28" t="n">
        <f aca="false">G8/$G$35</f>
        <v>0.0625031664500392</v>
      </c>
      <c r="M8" s="23" t="s">
        <v>74</v>
      </c>
    </row>
    <row r="9" customFormat="false" ht="15" hidden="false" customHeight="false" outlineLevel="0" collapsed="false">
      <c r="A9" s="5" t="s">
        <v>75</v>
      </c>
      <c r="B9" s="5" t="s">
        <v>76</v>
      </c>
      <c r="C9" s="20" t="n">
        <v>2350</v>
      </c>
      <c r="D9" s="20" t="n">
        <v>320.5</v>
      </c>
      <c r="E9" s="21" t="s">
        <v>33</v>
      </c>
      <c r="F9" s="22" t="n">
        <v>1</v>
      </c>
      <c r="G9" s="6" t="n">
        <v>753175</v>
      </c>
      <c r="H9" s="6" t="n">
        <v>473476</v>
      </c>
      <c r="I9" s="20" t="n">
        <v>201.47914893617</v>
      </c>
      <c r="J9" s="6" t="n">
        <f aca="false">G9-H9</f>
        <v>279699</v>
      </c>
      <c r="K9" s="7" t="n">
        <f aca="false">J9/H9</f>
        <v>0.590735327661803</v>
      </c>
      <c r="L9" s="7" t="n">
        <f aca="false">G9/$G$35</f>
        <v>0.0606649541055033</v>
      </c>
      <c r="M9" s="5" t="s">
        <v>77</v>
      </c>
    </row>
    <row r="10" customFormat="false" ht="15" hidden="false" customHeight="false" outlineLevel="0" collapsed="false">
      <c r="A10" s="23" t="s">
        <v>67</v>
      </c>
      <c r="B10" s="23" t="s">
        <v>78</v>
      </c>
      <c r="C10" s="24" t="n">
        <v>1510</v>
      </c>
      <c r="D10" s="24" t="n">
        <v>476.4</v>
      </c>
      <c r="E10" s="25" t="s">
        <v>33</v>
      </c>
      <c r="F10" s="26" t="n">
        <v>1</v>
      </c>
      <c r="G10" s="27" t="n">
        <v>719364</v>
      </c>
      <c r="H10" s="27" t="n">
        <v>430023</v>
      </c>
      <c r="I10" s="24" t="n">
        <v>284.783443708609</v>
      </c>
      <c r="J10" s="27" t="n">
        <f aca="false">G10-H10</f>
        <v>289341</v>
      </c>
      <c r="K10" s="28" t="n">
        <f aca="false">J10/H10</f>
        <v>0.672850056857424</v>
      </c>
      <c r="L10" s="28" t="n">
        <f aca="false">G10/$G$35</f>
        <v>0.0579416258441283</v>
      </c>
      <c r="M10" s="23" t="s">
        <v>71</v>
      </c>
    </row>
    <row r="11" customFormat="false" ht="15" hidden="false" customHeight="false" outlineLevel="0" collapsed="false">
      <c r="A11" s="5" t="s">
        <v>75</v>
      </c>
      <c r="B11" s="5" t="s">
        <v>79</v>
      </c>
      <c r="C11" s="20" t="n">
        <v>310</v>
      </c>
      <c r="D11" s="20" t="n">
        <v>1739.5</v>
      </c>
      <c r="E11" s="21" t="s">
        <v>33</v>
      </c>
      <c r="F11" s="22" t="n">
        <v>1</v>
      </c>
      <c r="G11" s="6" t="n">
        <v>539245</v>
      </c>
      <c r="H11" s="6" t="n">
        <v>308834</v>
      </c>
      <c r="I11" s="20" t="n">
        <v>996.238709677419</v>
      </c>
      <c r="J11" s="6" t="n">
        <f aca="false">G11-H11</f>
        <v>230411</v>
      </c>
      <c r="K11" s="7" t="n">
        <f aca="false">J11/H11</f>
        <v>0.74606746666494</v>
      </c>
      <c r="L11" s="7" t="n">
        <f aca="false">G11/$G$35</f>
        <v>0.0434338276982403</v>
      </c>
      <c r="M11" s="5" t="s">
        <v>80</v>
      </c>
    </row>
    <row r="12" customFormat="false" ht="15" hidden="false" customHeight="false" outlineLevel="0" collapsed="false">
      <c r="A12" s="23" t="s">
        <v>67</v>
      </c>
      <c r="B12" s="23" t="s">
        <v>81</v>
      </c>
      <c r="C12" s="24" t="n">
        <v>1500</v>
      </c>
      <c r="D12" s="24" t="n">
        <v>28.33</v>
      </c>
      <c r="E12" s="25" t="s">
        <v>35</v>
      </c>
      <c r="F12" s="26" t="n">
        <v>10.84</v>
      </c>
      <c r="G12" s="27" t="n">
        <v>460642</v>
      </c>
      <c r="H12" s="27" t="n">
        <v>698626</v>
      </c>
      <c r="I12" s="24" t="n">
        <v>42.9659286592866</v>
      </c>
      <c r="J12" s="27" t="n">
        <f aca="false">G12-H12</f>
        <v>-237984</v>
      </c>
      <c r="K12" s="28" t="n">
        <f aca="false">J12/H12</f>
        <v>-0.340645781863257</v>
      </c>
      <c r="L12" s="28" t="n">
        <f aca="false">G12/$G$35</f>
        <v>0.0371026996236828</v>
      </c>
      <c r="M12" s="23" t="s">
        <v>82</v>
      </c>
    </row>
    <row r="13" customFormat="false" ht="15" hidden="false" customHeight="false" outlineLevel="0" collapsed="false">
      <c r="A13" s="5" t="s">
        <v>75</v>
      </c>
      <c r="B13" s="5" t="s">
        <v>83</v>
      </c>
      <c r="C13" s="20" t="n">
        <v>2100</v>
      </c>
      <c r="D13" s="20" t="n">
        <v>217.4</v>
      </c>
      <c r="E13" s="21" t="s">
        <v>33</v>
      </c>
      <c r="F13" s="22" t="n">
        <v>1</v>
      </c>
      <c r="G13" s="6" t="n">
        <v>456540</v>
      </c>
      <c r="H13" s="6" t="n">
        <v>62186</v>
      </c>
      <c r="I13" s="20" t="n">
        <v>29.612380952381</v>
      </c>
      <c r="J13" s="6" t="n">
        <f aca="false">G13-H13</f>
        <v>394354</v>
      </c>
      <c r="K13" s="7" t="n">
        <f aca="false">J13/H13</f>
        <v>6.34152381564983</v>
      </c>
      <c r="L13" s="7" t="n">
        <f aca="false">G13/$G$35</f>
        <v>0.036772301453615</v>
      </c>
      <c r="M13" s="5" t="s">
        <v>84</v>
      </c>
    </row>
    <row r="14" customFormat="false" ht="15" hidden="false" customHeight="false" outlineLevel="0" collapsed="false">
      <c r="A14" s="23" t="s">
        <v>67</v>
      </c>
      <c r="B14" s="23" t="s">
        <v>85</v>
      </c>
      <c r="C14" s="24" t="n">
        <v>178</v>
      </c>
      <c r="D14" s="24" t="n">
        <v>223.7</v>
      </c>
      <c r="E14" s="25" t="s">
        <v>35</v>
      </c>
      <c r="F14" s="26" t="n">
        <v>10.84</v>
      </c>
      <c r="G14" s="27" t="n">
        <v>431630</v>
      </c>
      <c r="H14" s="27" t="n">
        <v>394022</v>
      </c>
      <c r="I14" s="24" t="n">
        <v>204.207263982752</v>
      </c>
      <c r="J14" s="27" t="n">
        <f aca="false">G14-H14</f>
        <v>37608</v>
      </c>
      <c r="K14" s="28" t="n">
        <f aca="false">J14/H14</f>
        <v>0.0954464471526971</v>
      </c>
      <c r="L14" s="28" t="n">
        <f aca="false">G14/$G$35</f>
        <v>0.0347659098357731</v>
      </c>
      <c r="M14" s="23" t="s">
        <v>86</v>
      </c>
    </row>
    <row r="15" customFormat="false" ht="15" hidden="false" customHeight="false" outlineLevel="0" collapsed="false">
      <c r="A15" s="5" t="s">
        <v>67</v>
      </c>
      <c r="B15" s="5" t="s">
        <v>87</v>
      </c>
      <c r="C15" s="20" t="n">
        <v>1742.71</v>
      </c>
      <c r="D15" s="20" t="n">
        <v>205.54</v>
      </c>
      <c r="E15" s="21" t="s">
        <v>33</v>
      </c>
      <c r="F15" s="22" t="n">
        <v>1</v>
      </c>
      <c r="G15" s="6" t="n">
        <v>358198</v>
      </c>
      <c r="H15" s="6" t="n">
        <v>371786</v>
      </c>
      <c r="I15" s="20" t="n">
        <v>213.337847375639</v>
      </c>
      <c r="J15" s="6" t="n">
        <f aca="false">G15-H15</f>
        <v>-13588</v>
      </c>
      <c r="K15" s="7" t="n">
        <f aca="false">J15/H15</f>
        <v>-0.0365479065914263</v>
      </c>
      <c r="L15" s="7" t="n">
        <f aca="false">G15/$G$35</f>
        <v>0.0288512832086608</v>
      </c>
      <c r="M15" s="5" t="s">
        <v>69</v>
      </c>
    </row>
    <row r="16" customFormat="false" ht="15" hidden="false" customHeight="false" outlineLevel="0" collapsed="false">
      <c r="A16" s="23" t="s">
        <v>67</v>
      </c>
      <c r="B16" s="23" t="s">
        <v>88</v>
      </c>
      <c r="C16" s="24" t="n">
        <v>3000</v>
      </c>
      <c r="D16" s="24" t="n">
        <v>116.1</v>
      </c>
      <c r="E16" s="25" t="s">
        <v>33</v>
      </c>
      <c r="F16" s="26" t="n">
        <v>1</v>
      </c>
      <c r="G16" s="27" t="n">
        <v>348300</v>
      </c>
      <c r="H16" s="27" t="n">
        <v>355284</v>
      </c>
      <c r="I16" s="24" t="n">
        <v>118.428</v>
      </c>
      <c r="J16" s="27" t="n">
        <f aca="false">G16-H16</f>
        <v>-6984</v>
      </c>
      <c r="K16" s="28" t="n">
        <f aca="false">J16/H16</f>
        <v>-0.019657513425879</v>
      </c>
      <c r="L16" s="28" t="n">
        <f aca="false">G16/$G$35</f>
        <v>0.0280540425730366</v>
      </c>
      <c r="M16" s="23" t="s">
        <v>89</v>
      </c>
    </row>
    <row r="17" customFormat="false" ht="15" hidden="false" customHeight="false" outlineLevel="0" collapsed="false">
      <c r="A17" s="5" t="s">
        <v>67</v>
      </c>
      <c r="B17" s="5" t="s">
        <v>90</v>
      </c>
      <c r="C17" s="20" t="n">
        <v>11750</v>
      </c>
      <c r="D17" s="20" t="n">
        <v>28.34</v>
      </c>
      <c r="E17" s="21" t="s">
        <v>33</v>
      </c>
      <c r="F17" s="22" t="n">
        <v>1</v>
      </c>
      <c r="G17" s="6" t="n">
        <v>332995</v>
      </c>
      <c r="H17" s="6" t="n">
        <v>653837</v>
      </c>
      <c r="I17" s="20" t="n">
        <v>55.6457021276596</v>
      </c>
      <c r="J17" s="6" t="n">
        <f aca="false">G17-H17</f>
        <v>-320842</v>
      </c>
      <c r="K17" s="7" t="n">
        <f aca="false">J17/H17</f>
        <v>-0.490706399301355</v>
      </c>
      <c r="L17" s="7" t="n">
        <f aca="false">G17/$G$35</f>
        <v>0.0268212917215283</v>
      </c>
      <c r="M17" s="5" t="s">
        <v>91</v>
      </c>
    </row>
    <row r="18" customFormat="false" ht="15" hidden="false" customHeight="false" outlineLevel="0" collapsed="false">
      <c r="A18" s="23" t="s">
        <v>67</v>
      </c>
      <c r="B18" s="23" t="s">
        <v>92</v>
      </c>
      <c r="C18" s="24" t="n">
        <v>5550</v>
      </c>
      <c r="D18" s="24" t="n">
        <v>54.58</v>
      </c>
      <c r="E18" s="25" t="s">
        <v>33</v>
      </c>
      <c r="F18" s="26" t="n">
        <v>1</v>
      </c>
      <c r="G18" s="27" t="n">
        <v>302919</v>
      </c>
      <c r="H18" s="27" t="n">
        <v>77813</v>
      </c>
      <c r="I18" s="24" t="n">
        <v>14.0203603603604</v>
      </c>
      <c r="J18" s="27" t="n">
        <f aca="false">G18-H18</f>
        <v>225106</v>
      </c>
      <c r="K18" s="28" t="n">
        <f aca="false">J18/H18</f>
        <v>2.89290992507679</v>
      </c>
      <c r="L18" s="28" t="n">
        <f aca="false">G18/$G$35</f>
        <v>0.0243988013843861</v>
      </c>
      <c r="M18" s="23" t="s">
        <v>89</v>
      </c>
    </row>
    <row r="19" customFormat="false" ht="15" hidden="false" customHeight="false" outlineLevel="0" collapsed="false">
      <c r="A19" s="5" t="s">
        <v>75</v>
      </c>
      <c r="B19" s="5" t="s">
        <v>93</v>
      </c>
      <c r="C19" s="20" t="n">
        <v>4712</v>
      </c>
      <c r="D19" s="20" t="n">
        <v>62.15</v>
      </c>
      <c r="E19" s="21" t="s">
        <v>33</v>
      </c>
      <c r="F19" s="22" t="n">
        <v>1</v>
      </c>
      <c r="G19" s="6" t="n">
        <v>292851</v>
      </c>
      <c r="H19" s="6" t="n">
        <v>225438</v>
      </c>
      <c r="I19" s="20" t="n">
        <v>47.8433786078099</v>
      </c>
      <c r="J19" s="6" t="n">
        <f aca="false">G19-H19</f>
        <v>67413</v>
      </c>
      <c r="K19" s="7" t="n">
        <f aca="false">J19/H19</f>
        <v>0.299031219226572</v>
      </c>
      <c r="L19" s="7" t="n">
        <f aca="false">G19/$G$35</f>
        <v>0.0235878679918356</v>
      </c>
      <c r="M19" s="5" t="s">
        <v>94</v>
      </c>
    </row>
    <row r="20" customFormat="false" ht="15" hidden="false" customHeight="false" outlineLevel="0" collapsed="false">
      <c r="A20" s="23" t="s">
        <v>67</v>
      </c>
      <c r="B20" s="23" t="s">
        <v>95</v>
      </c>
      <c r="C20" s="24" t="n">
        <v>765</v>
      </c>
      <c r="D20" s="24" t="n">
        <v>261.8</v>
      </c>
      <c r="E20" s="25" t="s">
        <v>36</v>
      </c>
      <c r="F20" s="26" t="n">
        <v>1.45</v>
      </c>
      <c r="G20" s="27" t="n">
        <v>290522</v>
      </c>
      <c r="H20" s="27" t="n">
        <v>640645</v>
      </c>
      <c r="I20" s="24" t="n">
        <v>577.547892720307</v>
      </c>
      <c r="J20" s="27" t="n">
        <f aca="false">G20-H20</f>
        <v>-350123</v>
      </c>
      <c r="K20" s="28" t="n">
        <f aca="false">J20/H20</f>
        <v>-0.546516401439175</v>
      </c>
      <c r="L20" s="28" t="n">
        <f aca="false">G20/$G$35</f>
        <v>0.0234002772219458</v>
      </c>
      <c r="M20" s="23" t="s">
        <v>80</v>
      </c>
    </row>
    <row r="21" customFormat="false" ht="15" hidden="false" customHeight="false" outlineLevel="0" collapsed="false">
      <c r="A21" s="5" t="s">
        <v>67</v>
      </c>
      <c r="B21" s="5" t="s">
        <v>96</v>
      </c>
      <c r="C21" s="20" t="n">
        <v>1492</v>
      </c>
      <c r="D21" s="20" t="n">
        <v>183.35</v>
      </c>
      <c r="E21" s="21" t="s">
        <v>33</v>
      </c>
      <c r="F21" s="22" t="n">
        <v>1</v>
      </c>
      <c r="G21" s="6" t="n">
        <v>273558</v>
      </c>
      <c r="H21" s="6" t="n">
        <v>208088</v>
      </c>
      <c r="I21" s="20" t="n">
        <v>139.469168900804</v>
      </c>
      <c r="J21" s="6" t="n">
        <f aca="false">G21-H21</f>
        <v>65470</v>
      </c>
      <c r="K21" s="7" t="n">
        <f aca="false">J21/H21</f>
        <v>0.314626504171312</v>
      </c>
      <c r="L21" s="7" t="n">
        <f aca="false">G21/$G$35</f>
        <v>0.0220339011719631</v>
      </c>
      <c r="M21" s="5" t="s">
        <v>69</v>
      </c>
    </row>
    <row r="22" customFormat="false" ht="15" hidden="false" customHeight="false" outlineLevel="0" collapsed="false">
      <c r="A22" s="23" t="s">
        <v>67</v>
      </c>
      <c r="B22" s="23" t="s">
        <v>97</v>
      </c>
      <c r="C22" s="24" t="n">
        <v>135</v>
      </c>
      <c r="D22" s="24" t="n">
        <v>169.48</v>
      </c>
      <c r="E22" s="25" t="s">
        <v>35</v>
      </c>
      <c r="F22" s="26" t="n">
        <v>10.84</v>
      </c>
      <c r="G22" s="27" t="n">
        <v>248015</v>
      </c>
      <c r="H22" s="27" t="n">
        <v>248015</v>
      </c>
      <c r="I22" s="24" t="n">
        <v>169.478611452781</v>
      </c>
      <c r="J22" s="27" t="n">
        <f aca="false">G22-H22</f>
        <v>0</v>
      </c>
      <c r="K22" s="28" t="n">
        <f aca="false">J22/H22</f>
        <v>0</v>
      </c>
      <c r="L22" s="28" t="n">
        <f aca="false">G22/$G$35</f>
        <v>0.0199765241709781</v>
      </c>
      <c r="M22" s="23" t="s">
        <v>98</v>
      </c>
    </row>
    <row r="23" customFormat="false" ht="15" hidden="false" customHeight="false" outlineLevel="0" collapsed="false">
      <c r="A23" s="5" t="s">
        <v>67</v>
      </c>
      <c r="B23" s="5" t="s">
        <v>99</v>
      </c>
      <c r="C23" s="20" t="n">
        <v>566</v>
      </c>
      <c r="D23" s="20" t="n">
        <v>44.89</v>
      </c>
      <c r="E23" s="21" t="s">
        <v>34</v>
      </c>
      <c r="F23" s="22" t="n">
        <v>9.27</v>
      </c>
      <c r="G23" s="6" t="n">
        <v>235431</v>
      </c>
      <c r="H23" s="6" t="n">
        <v>158894</v>
      </c>
      <c r="I23" s="20" t="n">
        <v>30.2838671805017</v>
      </c>
      <c r="J23" s="6" t="n">
        <f aca="false">G23-H23</f>
        <v>76537</v>
      </c>
      <c r="K23" s="7" t="n">
        <f aca="false">J23/H23</f>
        <v>0.481685903810087</v>
      </c>
      <c r="L23" s="7" t="n">
        <f aca="false">G23/$G$35</f>
        <v>0.018962937975919</v>
      </c>
      <c r="M23" s="5" t="s">
        <v>100</v>
      </c>
    </row>
    <row r="24" customFormat="false" ht="15" hidden="false" customHeight="false" outlineLevel="0" collapsed="false">
      <c r="A24" s="23" t="s">
        <v>67</v>
      </c>
      <c r="B24" s="23" t="s">
        <v>101</v>
      </c>
      <c r="C24" s="24" t="n">
        <v>1500</v>
      </c>
      <c r="D24" s="24" t="n">
        <v>154.5</v>
      </c>
      <c r="E24" s="25" t="s">
        <v>33</v>
      </c>
      <c r="F24" s="26" t="n">
        <v>1</v>
      </c>
      <c r="G24" s="27" t="n">
        <v>231750</v>
      </c>
      <c r="H24" s="27" t="n">
        <v>229916</v>
      </c>
      <c r="I24" s="24" t="n">
        <v>153.277333333333</v>
      </c>
      <c r="J24" s="27" t="n">
        <f aca="false">G24-H24</f>
        <v>1834</v>
      </c>
      <c r="K24" s="28" t="n">
        <f aca="false">J24/H24</f>
        <v>0.00797682631917744</v>
      </c>
      <c r="L24" s="28" t="n">
        <f aca="false">G24/$G$35</f>
        <v>0.0186664495156509</v>
      </c>
      <c r="M24" s="23" t="s">
        <v>77</v>
      </c>
    </row>
    <row r="25" customFormat="false" ht="15" hidden="false" customHeight="false" outlineLevel="0" collapsed="false">
      <c r="A25" s="5" t="s">
        <v>67</v>
      </c>
      <c r="B25" s="5" t="s">
        <v>102</v>
      </c>
      <c r="C25" s="20" t="n">
        <v>96.52</v>
      </c>
      <c r="D25" s="20" t="n">
        <v>2333.96</v>
      </c>
      <c r="E25" s="21" t="s">
        <v>33</v>
      </c>
      <c r="F25" s="22" t="n">
        <v>1</v>
      </c>
      <c r="G25" s="6" t="n">
        <v>225285</v>
      </c>
      <c r="H25" s="6" t="n">
        <v>199999</v>
      </c>
      <c r="I25" s="20" t="n">
        <v>2072.09904682967</v>
      </c>
      <c r="J25" s="6" t="n">
        <f aca="false">G25-H25</f>
        <v>25286</v>
      </c>
      <c r="K25" s="7" t="n">
        <f aca="false">J25/H25</f>
        <v>0.126430632153161</v>
      </c>
      <c r="L25" s="7" t="n">
        <f aca="false">G25/$G$35</f>
        <v>0.0181457220243082</v>
      </c>
      <c r="M25" s="5" t="s">
        <v>103</v>
      </c>
    </row>
    <row r="26" customFormat="false" ht="15" hidden="false" customHeight="false" outlineLevel="0" collapsed="false">
      <c r="A26" s="23" t="s">
        <v>67</v>
      </c>
      <c r="B26" s="23" t="s">
        <v>104</v>
      </c>
      <c r="C26" s="24" t="n">
        <v>800</v>
      </c>
      <c r="D26" s="24" t="n">
        <v>269.2</v>
      </c>
      <c r="E26" s="25" t="s">
        <v>33</v>
      </c>
      <c r="F26" s="26" t="n">
        <v>1</v>
      </c>
      <c r="G26" s="27" t="n">
        <v>215360</v>
      </c>
      <c r="H26" s="27" t="n">
        <v>204036</v>
      </c>
      <c r="I26" s="24" t="n">
        <v>255.045</v>
      </c>
      <c r="J26" s="27" t="n">
        <f aca="false">G26-H26</f>
        <v>11324</v>
      </c>
      <c r="K26" s="28" t="n">
        <f aca="false">J26/H26</f>
        <v>0.0555000098021918</v>
      </c>
      <c r="L26" s="28" t="n">
        <f aca="false">G26/$G$35</f>
        <v>0.0173463066567016</v>
      </c>
      <c r="M26" s="23" t="s">
        <v>105</v>
      </c>
    </row>
    <row r="27" customFormat="false" ht="15" hidden="false" customHeight="false" outlineLevel="0" collapsed="false">
      <c r="A27" s="5" t="s">
        <v>75</v>
      </c>
      <c r="B27" s="5" t="s">
        <v>106</v>
      </c>
      <c r="C27" s="20" t="n">
        <v>1550</v>
      </c>
      <c r="D27" s="20" t="n">
        <v>109.8</v>
      </c>
      <c r="E27" s="21" t="s">
        <v>33</v>
      </c>
      <c r="F27" s="22" t="n">
        <v>1</v>
      </c>
      <c r="G27" s="6" t="n">
        <v>170190</v>
      </c>
      <c r="H27" s="6" t="n">
        <v>365528</v>
      </c>
      <c r="I27" s="20" t="n">
        <v>235.824516129032</v>
      </c>
      <c r="J27" s="6" t="n">
        <f aca="false">G27-H27</f>
        <v>-195338</v>
      </c>
      <c r="K27" s="7" t="n">
        <f aca="false">J27/H27</f>
        <v>-0.534399553522576</v>
      </c>
      <c r="L27" s="7" t="n">
        <f aca="false">G27/$G$35</f>
        <v>0.0137080605957654</v>
      </c>
      <c r="M27" s="5" t="s">
        <v>84</v>
      </c>
    </row>
    <row r="28" customFormat="false" ht="15" hidden="false" customHeight="false" outlineLevel="0" collapsed="false">
      <c r="A28" s="23" t="s">
        <v>67</v>
      </c>
      <c r="B28" s="23" t="s">
        <v>107</v>
      </c>
      <c r="C28" s="24" t="n">
        <v>1000</v>
      </c>
      <c r="D28" s="24" t="n">
        <v>145.2</v>
      </c>
      <c r="E28" s="25" t="s">
        <v>33</v>
      </c>
      <c r="F28" s="26" t="n">
        <v>1</v>
      </c>
      <c r="G28" s="27" t="n">
        <v>145200</v>
      </c>
      <c r="H28" s="27" t="n">
        <v>103704</v>
      </c>
      <c r="I28" s="24" t="n">
        <v>103.704</v>
      </c>
      <c r="J28" s="27" t="n">
        <f aca="false">G28-H28</f>
        <v>41496</v>
      </c>
      <c r="K28" s="28" t="n">
        <f aca="false">J28/H28</f>
        <v>0.400138856746124</v>
      </c>
      <c r="L28" s="28" t="n">
        <f aca="false">G28/$G$35</f>
        <v>0.0116952253276053</v>
      </c>
      <c r="M28" s="23" t="s">
        <v>108</v>
      </c>
    </row>
    <row r="29" customFormat="false" ht="15" hidden="false" customHeight="false" outlineLevel="0" collapsed="false">
      <c r="A29" s="5" t="s">
        <v>67</v>
      </c>
      <c r="B29" s="5" t="s">
        <v>109</v>
      </c>
      <c r="C29" s="20" t="n">
        <v>250</v>
      </c>
      <c r="D29" s="20" t="n">
        <v>61.6</v>
      </c>
      <c r="E29" s="21" t="s">
        <v>34</v>
      </c>
      <c r="F29" s="22" t="n">
        <v>9.27</v>
      </c>
      <c r="G29" s="6" t="n">
        <v>142698</v>
      </c>
      <c r="H29" s="6" t="n">
        <v>241498</v>
      </c>
      <c r="I29" s="20" t="n">
        <v>104.206256742179</v>
      </c>
      <c r="J29" s="6" t="n">
        <f aca="false">G29-H29</f>
        <v>-98800</v>
      </c>
      <c r="K29" s="7" t="n">
        <f aca="false">J29/H29</f>
        <v>-0.409113118949225</v>
      </c>
      <c r="L29" s="7" t="n">
        <f aca="false">G29/$G$35</f>
        <v>0.0114937001639023</v>
      </c>
      <c r="M29" s="5" t="s">
        <v>110</v>
      </c>
    </row>
    <row r="30" customFormat="false" ht="15" hidden="false" customHeight="false" outlineLevel="0" collapsed="false">
      <c r="A30" s="23" t="s">
        <v>67</v>
      </c>
      <c r="B30" s="23" t="s">
        <v>111</v>
      </c>
      <c r="C30" s="24" t="n">
        <v>1000</v>
      </c>
      <c r="D30" s="24" t="n">
        <v>116.9</v>
      </c>
      <c r="E30" s="25" t="s">
        <v>33</v>
      </c>
      <c r="F30" s="26" t="n">
        <v>1</v>
      </c>
      <c r="G30" s="27" t="n">
        <v>116900</v>
      </c>
      <c r="H30" s="27" t="n">
        <v>108197</v>
      </c>
      <c r="I30" s="24" t="n">
        <v>108.197</v>
      </c>
      <c r="J30" s="27" t="n">
        <f aca="false">G30-H30</f>
        <v>8703</v>
      </c>
      <c r="K30" s="28" t="n">
        <f aca="false">J30/H30</f>
        <v>0.080436610996608</v>
      </c>
      <c r="L30" s="28" t="n">
        <f aca="false">G30/$G$35</f>
        <v>0.00941578402752792</v>
      </c>
      <c r="M30" s="23" t="s">
        <v>112</v>
      </c>
    </row>
    <row r="31" customFormat="false" ht="15" hidden="false" customHeight="false" outlineLevel="0" collapsed="false">
      <c r="A31" s="5" t="s">
        <v>75</v>
      </c>
      <c r="B31" s="5" t="s">
        <v>113</v>
      </c>
      <c r="C31" s="20" t="n">
        <v>500</v>
      </c>
      <c r="D31" s="20" t="n">
        <v>229.6</v>
      </c>
      <c r="E31" s="21" t="s">
        <v>33</v>
      </c>
      <c r="F31" s="22" t="n">
        <v>1</v>
      </c>
      <c r="G31" s="6" t="n">
        <v>114800</v>
      </c>
      <c r="H31" s="6" t="n">
        <v>106468</v>
      </c>
      <c r="I31" s="20" t="n">
        <v>212.936</v>
      </c>
      <c r="J31" s="6" t="n">
        <f aca="false">G31-H31</f>
        <v>8332</v>
      </c>
      <c r="K31" s="7" t="n">
        <f aca="false">J31/H31</f>
        <v>0.0782582560018034</v>
      </c>
      <c r="L31" s="7" t="n">
        <f aca="false">G31/$G$35</f>
        <v>0.00924663820667412</v>
      </c>
      <c r="M31" s="5" t="s">
        <v>77</v>
      </c>
    </row>
    <row r="32" customFormat="false" ht="15" hidden="false" customHeight="false" outlineLevel="0" collapsed="false">
      <c r="A32" s="23" t="s">
        <v>75</v>
      </c>
      <c r="B32" s="23" t="s">
        <v>114</v>
      </c>
      <c r="C32" s="24" t="n">
        <v>3346</v>
      </c>
      <c r="D32" s="24" t="n">
        <v>31.7</v>
      </c>
      <c r="E32" s="25" t="s">
        <v>33</v>
      </c>
      <c r="F32" s="26" t="n">
        <v>1</v>
      </c>
      <c r="G32" s="27" t="n">
        <v>106068</v>
      </c>
      <c r="H32" s="27" t="n">
        <v>353764</v>
      </c>
      <c r="I32" s="24" t="n">
        <v>105.727435744172</v>
      </c>
      <c r="J32" s="27" t="n">
        <f aca="false">G32-H32</f>
        <v>-247696</v>
      </c>
      <c r="K32" s="28" t="n">
        <f aca="false">J32/H32</f>
        <v>-0.700172996687057</v>
      </c>
      <c r="L32" s="28" t="n">
        <f aca="false">G32/$G$35</f>
        <v>0.00854331377443825</v>
      </c>
      <c r="M32" s="23" t="s">
        <v>115</v>
      </c>
    </row>
    <row r="33" customFormat="false" ht="15" hidden="false" customHeight="false" outlineLevel="0" collapsed="false">
      <c r="A33" s="5" t="s">
        <v>75</v>
      </c>
      <c r="B33" s="5" t="s">
        <v>116</v>
      </c>
      <c r="C33" s="20" t="n">
        <v>5200</v>
      </c>
      <c r="D33" s="20" t="n">
        <v>11.88</v>
      </c>
      <c r="E33" s="21" t="s">
        <v>33</v>
      </c>
      <c r="F33" s="22" t="n">
        <v>1</v>
      </c>
      <c r="G33" s="6" t="n">
        <v>61776</v>
      </c>
      <c r="H33" s="6" t="n">
        <v>259211</v>
      </c>
      <c r="I33" s="20" t="n">
        <v>49.8482692307692</v>
      </c>
      <c r="J33" s="6" t="n">
        <f aca="false">G33-H33</f>
        <v>-197435</v>
      </c>
      <c r="K33" s="7" t="n">
        <f aca="false">J33/H33</f>
        <v>-0.761676780692177</v>
      </c>
      <c r="L33" s="7" t="n">
        <f aca="false">G33/$G$35</f>
        <v>0.00497578677574478</v>
      </c>
      <c r="M33" s="5" t="s">
        <v>91</v>
      </c>
    </row>
    <row r="34" customFormat="false" ht="15" hidden="false" customHeight="false" outlineLevel="0" collapsed="false">
      <c r="A34" s="23" t="s">
        <v>75</v>
      </c>
      <c r="B34" s="23" t="s">
        <v>30</v>
      </c>
      <c r="C34" s="24" t="n">
        <v>1</v>
      </c>
      <c r="D34" s="24" t="n">
        <v>61211</v>
      </c>
      <c r="E34" s="25" t="s">
        <v>33</v>
      </c>
      <c r="F34" s="26" t="n">
        <v>1</v>
      </c>
      <c r="G34" s="27" t="n">
        <v>61211</v>
      </c>
      <c r="H34" s="27" t="n">
        <v>61211</v>
      </c>
      <c r="I34" s="24" t="n">
        <v>61211</v>
      </c>
      <c r="J34" s="27" t="n">
        <f aca="false">G34-H34</f>
        <v>0</v>
      </c>
      <c r="K34" s="28" t="n">
        <f aca="false">J34/H34</f>
        <v>0</v>
      </c>
      <c r="L34" s="28" t="n">
        <f aca="false">G34/$G$35</f>
        <v>0.00493027849537221</v>
      </c>
      <c r="M34" s="23" t="s">
        <v>117</v>
      </c>
    </row>
    <row r="35" customFormat="false" ht="15" hidden="false" customHeight="false" outlineLevel="0" collapsed="false">
      <c r="A35" s="8" t="s">
        <v>11</v>
      </c>
      <c r="B35" s="8"/>
      <c r="C35" s="29"/>
      <c r="D35" s="29"/>
      <c r="E35" s="4"/>
      <c r="F35" s="30"/>
      <c r="G35" s="9" t="n">
        <f aca="false">SUM(G5:G34)</f>
        <v>12415323</v>
      </c>
      <c r="H35" s="9" t="n">
        <f aca="false">SUM(H5:H34)</f>
        <v>10622862</v>
      </c>
      <c r="I35" s="29"/>
      <c r="J35" s="9" t="n">
        <f aca="false">SUM(J5:J34)</f>
        <v>1792461</v>
      </c>
      <c r="K35" s="10" t="n">
        <f aca="false">J35/H35</f>
        <v>0.168736165451457</v>
      </c>
      <c r="L35" s="10" t="n">
        <f aca="false">SUM(L5:L34)</f>
        <v>1</v>
      </c>
      <c r="M35" s="8"/>
    </row>
  </sheetData>
  <mergeCells count="2">
    <mergeCell ref="A1:M1"/>
    <mergeCell ref="A2:M2"/>
  </mergeCells>
  <conditionalFormatting sqref="K5:K34">
    <cfRule type="colorScale" priority="2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118</v>
      </c>
      <c r="B1" s="1"/>
      <c r="C1" s="1"/>
      <c r="D1" s="1"/>
      <c r="E1" s="1"/>
    </row>
    <row r="3" customFormat="false" ht="15" hidden="false" customHeight="false" outlineLevel="0" collapsed="false">
      <c r="A3" s="3" t="s">
        <v>119</v>
      </c>
      <c r="B3" s="3"/>
      <c r="C3" s="3"/>
    </row>
    <row r="4" customFormat="false" ht="15" hidden="false" customHeight="false" outlineLevel="0" collapsed="false">
      <c r="A4" s="11" t="s">
        <v>66</v>
      </c>
      <c r="B4" s="11" t="s">
        <v>23</v>
      </c>
      <c r="C4" s="11" t="s">
        <v>24</v>
      </c>
    </row>
    <row r="5" customFormat="false" ht="15" hidden="false" customHeight="false" outlineLevel="0" collapsed="false">
      <c r="A5" s="13" t="s">
        <v>69</v>
      </c>
      <c r="B5" s="16" t="n">
        <v>2180853</v>
      </c>
      <c r="C5" s="17" t="n">
        <f aca="false">B5/$B$26</f>
        <v>0.175658176593553</v>
      </c>
    </row>
    <row r="6" customFormat="false" ht="15" hidden="false" customHeight="false" outlineLevel="0" collapsed="false">
      <c r="A6" s="13" t="s">
        <v>71</v>
      </c>
      <c r="B6" s="16" t="n">
        <v>1979404</v>
      </c>
      <c r="C6" s="17" t="n">
        <f aca="false">B6/$B$26</f>
        <v>0.159432340181564</v>
      </c>
    </row>
    <row r="7" customFormat="false" ht="15" hidden="false" customHeight="false" outlineLevel="0" collapsed="false">
      <c r="A7" s="13" t="s">
        <v>72</v>
      </c>
      <c r="B7" s="16" t="n">
        <v>1195566</v>
      </c>
      <c r="C7" s="17" t="n">
        <f aca="false">B7/$B$26</f>
        <v>0.0962976154547087</v>
      </c>
    </row>
    <row r="8" customFormat="false" ht="15" hidden="false" customHeight="false" outlineLevel="0" collapsed="false">
      <c r="A8" s="13" t="s">
        <v>77</v>
      </c>
      <c r="B8" s="16" t="n">
        <v>1099725</v>
      </c>
      <c r="C8" s="17" t="n">
        <f aca="false">B8/$B$26</f>
        <v>0.0885780418278284</v>
      </c>
    </row>
    <row r="9" customFormat="false" ht="15" hidden="false" customHeight="false" outlineLevel="0" collapsed="false">
      <c r="A9" s="13" t="s">
        <v>80</v>
      </c>
      <c r="B9" s="16" t="n">
        <v>829767</v>
      </c>
      <c r="C9" s="17" t="n">
        <f aca="false">B9/$B$26</f>
        <v>0.0668341049201861</v>
      </c>
    </row>
    <row r="10" customFormat="false" ht="15" hidden="false" customHeight="false" outlineLevel="0" collapsed="false">
      <c r="A10" s="13" t="s">
        <v>74</v>
      </c>
      <c r="B10" s="16" t="n">
        <v>775997</v>
      </c>
      <c r="C10" s="17" t="n">
        <f aca="false">B10/$B$26</f>
        <v>0.0625031664500392</v>
      </c>
    </row>
    <row r="11" customFormat="false" ht="15" hidden="false" customHeight="false" outlineLevel="0" collapsed="false">
      <c r="A11" s="13" t="s">
        <v>89</v>
      </c>
      <c r="B11" s="16" t="n">
        <v>651219</v>
      </c>
      <c r="C11" s="17" t="n">
        <f aca="false">B11/$B$26</f>
        <v>0.0524528439574226</v>
      </c>
    </row>
    <row r="12" customFormat="false" ht="15" hidden="false" customHeight="false" outlineLevel="0" collapsed="false">
      <c r="A12" s="13" t="s">
        <v>84</v>
      </c>
      <c r="B12" s="16" t="n">
        <v>626730</v>
      </c>
      <c r="C12" s="17" t="n">
        <f aca="false">B12/$B$26</f>
        <v>0.0504803620493804</v>
      </c>
    </row>
    <row r="13" customFormat="false" ht="15" hidden="false" customHeight="false" outlineLevel="0" collapsed="false">
      <c r="A13" s="13" t="s">
        <v>82</v>
      </c>
      <c r="B13" s="16" t="n">
        <v>460642</v>
      </c>
      <c r="C13" s="17" t="n">
        <f aca="false">B13/$B$26</f>
        <v>0.0371026996236828</v>
      </c>
    </row>
    <row r="14" customFormat="false" ht="15" hidden="false" customHeight="false" outlineLevel="0" collapsed="false">
      <c r="A14" s="13" t="s">
        <v>86</v>
      </c>
      <c r="B14" s="16" t="n">
        <v>431630</v>
      </c>
      <c r="C14" s="17" t="n">
        <f aca="false">B14/$B$26</f>
        <v>0.0347659098357731</v>
      </c>
    </row>
    <row r="15" customFormat="false" ht="15" hidden="false" customHeight="false" outlineLevel="0" collapsed="false">
      <c r="A15" s="13" t="s">
        <v>91</v>
      </c>
      <c r="B15" s="16" t="n">
        <v>394771</v>
      </c>
      <c r="C15" s="17" t="n">
        <f aca="false">B15/$B$26</f>
        <v>0.0317970784972731</v>
      </c>
    </row>
    <row r="16" customFormat="false" ht="15" hidden="false" customHeight="false" outlineLevel="0" collapsed="false">
      <c r="A16" s="13" t="s">
        <v>94</v>
      </c>
      <c r="B16" s="16" t="n">
        <v>292851</v>
      </c>
      <c r="C16" s="17" t="n">
        <f aca="false">B16/$B$26</f>
        <v>0.0235878679918356</v>
      </c>
    </row>
    <row r="17" customFormat="false" ht="15" hidden="false" customHeight="false" outlineLevel="0" collapsed="false">
      <c r="A17" s="13" t="s">
        <v>98</v>
      </c>
      <c r="B17" s="16" t="n">
        <v>248015</v>
      </c>
      <c r="C17" s="17" t="n">
        <f aca="false">B17/$B$26</f>
        <v>0.0199765241709781</v>
      </c>
    </row>
    <row r="18" customFormat="false" ht="15" hidden="false" customHeight="false" outlineLevel="0" collapsed="false">
      <c r="A18" s="13" t="s">
        <v>100</v>
      </c>
      <c r="B18" s="16" t="n">
        <v>235431</v>
      </c>
      <c r="C18" s="17" t="n">
        <f aca="false">B18/$B$26</f>
        <v>0.018962937975919</v>
      </c>
    </row>
    <row r="19" customFormat="false" ht="15" hidden="false" customHeight="false" outlineLevel="0" collapsed="false">
      <c r="A19" s="13" t="s">
        <v>103</v>
      </c>
      <c r="B19" s="16" t="n">
        <v>225285</v>
      </c>
      <c r="C19" s="17" t="n">
        <f aca="false">B19/$B$26</f>
        <v>0.0181457220243082</v>
      </c>
    </row>
    <row r="20" customFormat="false" ht="15" hidden="false" customHeight="false" outlineLevel="0" collapsed="false">
      <c r="A20" s="13" t="s">
        <v>105</v>
      </c>
      <c r="B20" s="16" t="n">
        <v>215360</v>
      </c>
      <c r="C20" s="17" t="n">
        <f aca="false">B20/$B$26</f>
        <v>0.0173463066567016</v>
      </c>
    </row>
    <row r="21" customFormat="false" ht="15" hidden="false" customHeight="false" outlineLevel="0" collapsed="false">
      <c r="A21" s="13" t="s">
        <v>108</v>
      </c>
      <c r="B21" s="16" t="n">
        <v>145200</v>
      </c>
      <c r="C21" s="17" t="n">
        <f aca="false">B21/$B$26</f>
        <v>0.0116952253276053</v>
      </c>
    </row>
    <row r="22" customFormat="false" ht="15" hidden="false" customHeight="false" outlineLevel="0" collapsed="false">
      <c r="A22" s="13" t="s">
        <v>110</v>
      </c>
      <c r="B22" s="16" t="n">
        <v>142698</v>
      </c>
      <c r="C22" s="17" t="n">
        <f aca="false">B22/$B$26</f>
        <v>0.0114937001639023</v>
      </c>
    </row>
    <row r="23" customFormat="false" ht="15" hidden="false" customHeight="false" outlineLevel="0" collapsed="false">
      <c r="A23" s="13" t="s">
        <v>112</v>
      </c>
      <c r="B23" s="16" t="n">
        <v>116900</v>
      </c>
      <c r="C23" s="17" t="n">
        <f aca="false">B23/$B$26</f>
        <v>0.00941578402752792</v>
      </c>
    </row>
    <row r="24" customFormat="false" ht="15" hidden="false" customHeight="false" outlineLevel="0" collapsed="false">
      <c r="A24" s="13" t="s">
        <v>115</v>
      </c>
      <c r="B24" s="16" t="n">
        <v>106068</v>
      </c>
      <c r="C24" s="17" t="n">
        <f aca="false">B24/$B$26</f>
        <v>0.00854331377443825</v>
      </c>
    </row>
    <row r="25" customFormat="false" ht="15" hidden="false" customHeight="false" outlineLevel="0" collapsed="false">
      <c r="A25" s="13" t="s">
        <v>117</v>
      </c>
      <c r="B25" s="16" t="n">
        <v>61211</v>
      </c>
      <c r="C25" s="17" t="n">
        <f aca="false">B25/$B$26</f>
        <v>0.00493027849537221</v>
      </c>
    </row>
    <row r="26" customFormat="false" ht="15" hidden="false" customHeight="false" outlineLevel="0" collapsed="false">
      <c r="A26" s="11" t="s">
        <v>11</v>
      </c>
      <c r="B26" s="31" t="n">
        <f aca="false">SUM(B5:B25)</f>
        <v>12415323</v>
      </c>
      <c r="C26" s="32" t="n">
        <f aca="false">SUM(C5:C25)</f>
        <v>1</v>
      </c>
    </row>
    <row r="28" customFormat="false" ht="15" hidden="false" customHeight="false" outlineLevel="0" collapsed="false">
      <c r="A28" s="3" t="s">
        <v>120</v>
      </c>
      <c r="B28" s="3"/>
      <c r="C28" s="3"/>
    </row>
    <row r="29" customFormat="false" ht="15" hidden="false" customHeight="false" outlineLevel="0" collapsed="false">
      <c r="A29" s="11" t="s">
        <v>121</v>
      </c>
      <c r="B29" s="11" t="s">
        <v>23</v>
      </c>
      <c r="C29" s="11" t="s">
        <v>24</v>
      </c>
    </row>
    <row r="30" customFormat="false" ht="15" hidden="false" customHeight="false" outlineLevel="0" collapsed="false">
      <c r="A30" s="13" t="s">
        <v>122</v>
      </c>
      <c r="B30" s="16" t="n">
        <v>11045747</v>
      </c>
      <c r="C30" s="17" t="n">
        <f aca="false">B30/$B$35</f>
        <v>0.782750008468293</v>
      </c>
    </row>
    <row r="31" customFormat="false" ht="15" hidden="false" customHeight="false" outlineLevel="0" collapsed="false">
      <c r="A31" s="13" t="s">
        <v>123</v>
      </c>
      <c r="B31" s="16" t="n">
        <v>1573695</v>
      </c>
      <c r="C31" s="17" t="n">
        <f aca="false">B31/$B$35</f>
        <v>0.111518919868119</v>
      </c>
    </row>
    <row r="32" customFormat="false" ht="15" hidden="false" customHeight="false" outlineLevel="0" collapsed="false">
      <c r="A32" s="13" t="s">
        <v>124</v>
      </c>
      <c r="B32" s="16" t="n">
        <v>1140287</v>
      </c>
      <c r="C32" s="17" t="n">
        <f aca="false">B32/$B$35</f>
        <v>0.0808057308307247</v>
      </c>
    </row>
    <row r="33" customFormat="false" ht="15" hidden="false" customHeight="false" outlineLevel="0" collapsed="false">
      <c r="A33" s="13" t="s">
        <v>125</v>
      </c>
      <c r="B33" s="16" t="n">
        <v>290522</v>
      </c>
      <c r="C33" s="17" t="n">
        <f aca="false">B33/$B$35</f>
        <v>0.0205876612926428</v>
      </c>
    </row>
    <row r="34" customFormat="false" ht="15" hidden="false" customHeight="false" outlineLevel="0" collapsed="false">
      <c r="A34" s="13" t="s">
        <v>126</v>
      </c>
      <c r="B34" s="16" t="n">
        <v>61211</v>
      </c>
      <c r="C34" s="17" t="n">
        <f aca="false">B34/$B$35</f>
        <v>0.00433767954022057</v>
      </c>
    </row>
    <row r="35" customFormat="false" ht="15" hidden="false" customHeight="false" outlineLevel="0" collapsed="false">
      <c r="A35" s="11" t="s">
        <v>11</v>
      </c>
      <c r="B35" s="31" t="n">
        <f aca="false">SUM(B30:B34)</f>
        <v>14111462</v>
      </c>
      <c r="C35" s="32" t="n">
        <f aca="false">SUM(C30:C34)</f>
        <v>1</v>
      </c>
    </row>
    <row r="37" customFormat="false" ht="15" hidden="false" customHeight="false" outlineLevel="0" collapsed="false">
      <c r="A37" s="2" t="s">
        <v>127</v>
      </c>
      <c r="B37" s="2"/>
      <c r="C37" s="2"/>
      <c r="D37" s="2"/>
      <c r="E37" s="2"/>
    </row>
  </sheetData>
  <mergeCells count="4">
    <mergeCell ref="A1:E1"/>
    <mergeCell ref="A3:C3"/>
    <mergeCell ref="A28:C28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26"/>
    <col collapsed="false" customWidth="true" hidden="false" outlineLevel="0" max="9" min="8" style="0" width="14"/>
    <col collapsed="false" customWidth="true" hidden="false" outlineLevel="0" max="10" min="10" style="0" width="55"/>
  </cols>
  <sheetData>
    <row r="1" customFormat="false" ht="17.35" hidden="false" customHeight="fals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129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4.5" hidden="false" customHeight="true" outlineLevel="0" collapsed="false">
      <c r="A4" s="19" t="s">
        <v>60</v>
      </c>
      <c r="B4" s="19" t="s">
        <v>130</v>
      </c>
      <c r="C4" s="19" t="s">
        <v>32</v>
      </c>
      <c r="D4" s="19" t="s">
        <v>131</v>
      </c>
      <c r="E4" s="19" t="s">
        <v>132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137</v>
      </c>
    </row>
    <row r="5" customFormat="false" ht="37.5" hidden="false" customHeight="true" outlineLevel="0" collapsed="false">
      <c r="A5" s="33" t="s">
        <v>95</v>
      </c>
      <c r="B5" s="34" t="n">
        <v>261.8</v>
      </c>
      <c r="C5" s="33" t="s">
        <v>36</v>
      </c>
      <c r="D5" s="33" t="s">
        <v>138</v>
      </c>
      <c r="E5" s="34" t="n">
        <v>307.67</v>
      </c>
      <c r="F5" s="35" t="s">
        <v>139</v>
      </c>
      <c r="G5" s="33" t="s">
        <v>140</v>
      </c>
      <c r="H5" s="35"/>
      <c r="I5" s="35"/>
      <c r="J5" s="36" t="s">
        <v>141</v>
      </c>
    </row>
    <row r="6" customFormat="false" ht="37.5" hidden="false" customHeight="true" outlineLevel="0" collapsed="false">
      <c r="A6" s="37" t="s">
        <v>90</v>
      </c>
      <c r="B6" s="38" t="n">
        <v>28.34</v>
      </c>
      <c r="C6" s="37" t="s">
        <v>33</v>
      </c>
      <c r="D6" s="37" t="s">
        <v>142</v>
      </c>
      <c r="E6" s="38" t="n">
        <v>30</v>
      </c>
      <c r="F6" s="39" t="s">
        <v>143</v>
      </c>
      <c r="G6" s="37" t="s">
        <v>144</v>
      </c>
      <c r="H6" s="39"/>
      <c r="I6" s="39"/>
      <c r="J6" s="40" t="s">
        <v>145</v>
      </c>
    </row>
    <row r="7" customFormat="false" ht="37.5" hidden="false" customHeight="true" outlineLevel="0" collapsed="false">
      <c r="A7" s="33" t="s">
        <v>109</v>
      </c>
      <c r="B7" s="34" t="n">
        <v>61.6</v>
      </c>
      <c r="C7" s="33" t="s">
        <v>34</v>
      </c>
      <c r="D7" s="33" t="s">
        <v>146</v>
      </c>
      <c r="E7" s="34" t="n">
        <v>77</v>
      </c>
      <c r="F7" s="35" t="s">
        <v>147</v>
      </c>
      <c r="G7" s="33" t="s">
        <v>148</v>
      </c>
      <c r="H7" s="35"/>
      <c r="I7" s="35"/>
      <c r="J7" s="36" t="s">
        <v>149</v>
      </c>
    </row>
    <row r="8" customFormat="false" ht="37.5" hidden="false" customHeight="true" outlineLevel="0" collapsed="false">
      <c r="A8" s="37" t="s">
        <v>81</v>
      </c>
      <c r="B8" s="38" t="n">
        <v>28.33</v>
      </c>
      <c r="C8" s="37" t="s">
        <v>35</v>
      </c>
      <c r="D8" s="37" t="s">
        <v>150</v>
      </c>
      <c r="E8" s="38" t="n">
        <v>27.77</v>
      </c>
      <c r="F8" s="39" t="s">
        <v>151</v>
      </c>
      <c r="G8" s="37" t="s">
        <v>152</v>
      </c>
      <c r="H8" s="39"/>
      <c r="I8" s="39"/>
      <c r="J8" s="40" t="s">
        <v>153</v>
      </c>
    </row>
    <row r="9" customFormat="false" ht="37.5" hidden="false" customHeight="true" outlineLevel="0" collapsed="false">
      <c r="A9" s="33" t="s">
        <v>83</v>
      </c>
      <c r="B9" s="34" t="n">
        <v>217.4</v>
      </c>
      <c r="C9" s="33" t="s">
        <v>33</v>
      </c>
      <c r="D9" s="33" t="s">
        <v>154</v>
      </c>
      <c r="E9" s="34" t="n">
        <v>342.5</v>
      </c>
      <c r="F9" s="35" t="s">
        <v>155</v>
      </c>
      <c r="G9" s="33" t="s">
        <v>156</v>
      </c>
      <c r="H9" s="35"/>
      <c r="I9" s="35"/>
      <c r="J9" s="36" t="s">
        <v>157</v>
      </c>
    </row>
    <row r="10" customFormat="false" ht="37.5" hidden="false" customHeight="true" outlineLevel="0" collapsed="false">
      <c r="A10" s="37" t="s">
        <v>116</v>
      </c>
      <c r="B10" s="38" t="n">
        <v>11.88</v>
      </c>
      <c r="C10" s="37" t="s">
        <v>33</v>
      </c>
      <c r="D10" s="37" t="s">
        <v>158</v>
      </c>
      <c r="E10" s="38" t="n">
        <v>23.3</v>
      </c>
      <c r="F10" s="39" t="s">
        <v>159</v>
      </c>
      <c r="G10" s="37" t="s">
        <v>156</v>
      </c>
      <c r="H10" s="39"/>
      <c r="I10" s="39"/>
      <c r="J10" s="40" t="s">
        <v>160</v>
      </c>
    </row>
    <row r="11" customFormat="false" ht="37.5" hidden="false" customHeight="true" outlineLevel="0" collapsed="false">
      <c r="A11" s="33" t="s">
        <v>106</v>
      </c>
      <c r="B11" s="34" t="n">
        <v>109.8</v>
      </c>
      <c r="C11" s="33" t="s">
        <v>33</v>
      </c>
      <c r="D11" s="33" t="s">
        <v>161</v>
      </c>
      <c r="E11" s="35" t="s">
        <v>161</v>
      </c>
      <c r="F11" s="35" t="s">
        <v>161</v>
      </c>
      <c r="G11" s="33" t="s">
        <v>162</v>
      </c>
      <c r="H11" s="35"/>
      <c r="I11" s="35"/>
      <c r="J11" s="36" t="s">
        <v>163</v>
      </c>
    </row>
    <row r="12" customFormat="false" ht="37.5" hidden="false" customHeight="true" outlineLevel="0" collapsed="false">
      <c r="A12" s="37" t="s">
        <v>114</v>
      </c>
      <c r="B12" s="38" t="n">
        <v>31.7</v>
      </c>
      <c r="C12" s="37" t="s">
        <v>33</v>
      </c>
      <c r="D12" s="37" t="s">
        <v>161</v>
      </c>
      <c r="E12" s="39" t="s">
        <v>161</v>
      </c>
      <c r="F12" s="39" t="s">
        <v>161</v>
      </c>
      <c r="G12" s="37" t="s">
        <v>162</v>
      </c>
      <c r="H12" s="39"/>
      <c r="I12" s="39"/>
      <c r="J12" s="40" t="s">
        <v>164</v>
      </c>
    </row>
    <row r="13" customFormat="false" ht="37.5" hidden="false" customHeight="true" outlineLevel="0" collapsed="false">
      <c r="A13" s="33" t="s">
        <v>70</v>
      </c>
      <c r="B13" s="34" t="n">
        <v>370.6</v>
      </c>
      <c r="C13" s="33" t="s">
        <v>33</v>
      </c>
      <c r="D13" s="33" t="s">
        <v>165</v>
      </c>
      <c r="E13" s="35" t="s">
        <v>161</v>
      </c>
      <c r="F13" s="35" t="s">
        <v>161</v>
      </c>
      <c r="G13" s="33" t="s">
        <v>166</v>
      </c>
      <c r="H13" s="35"/>
      <c r="I13" s="35"/>
      <c r="J13" s="36" t="s">
        <v>167</v>
      </c>
    </row>
    <row r="14" customFormat="false" ht="37.5" hidden="false" customHeight="true" outlineLevel="0" collapsed="false">
      <c r="A14" s="37" t="s">
        <v>78</v>
      </c>
      <c r="B14" s="38" t="n">
        <v>476.4</v>
      </c>
      <c r="C14" s="37" t="s">
        <v>33</v>
      </c>
      <c r="D14" s="37" t="s">
        <v>165</v>
      </c>
      <c r="E14" s="39" t="s">
        <v>161</v>
      </c>
      <c r="F14" s="39" t="s">
        <v>161</v>
      </c>
      <c r="G14" s="37" t="s">
        <v>166</v>
      </c>
      <c r="H14" s="39"/>
      <c r="I14" s="39"/>
      <c r="J14" s="40" t="s">
        <v>168</v>
      </c>
    </row>
    <row r="15" customFormat="false" ht="37.5" hidden="false" customHeight="true" outlineLevel="0" collapsed="false">
      <c r="A15" s="33" t="s">
        <v>79</v>
      </c>
      <c r="B15" s="34" t="n">
        <v>1739.5</v>
      </c>
      <c r="C15" s="33" t="s">
        <v>33</v>
      </c>
      <c r="D15" s="33" t="s">
        <v>169</v>
      </c>
      <c r="E15" s="35" t="s">
        <v>161</v>
      </c>
      <c r="F15" s="35" t="s">
        <v>161</v>
      </c>
      <c r="G15" s="33" t="s">
        <v>162</v>
      </c>
      <c r="H15" s="35"/>
      <c r="I15" s="35"/>
      <c r="J15" s="36" t="s">
        <v>170</v>
      </c>
    </row>
    <row r="16" customFormat="false" ht="37.5" hidden="false" customHeight="true" outlineLevel="0" collapsed="false">
      <c r="A16" s="37" t="s">
        <v>76</v>
      </c>
      <c r="B16" s="38" t="n">
        <v>320.5</v>
      </c>
      <c r="C16" s="37" t="s">
        <v>33</v>
      </c>
      <c r="D16" s="37" t="s">
        <v>169</v>
      </c>
      <c r="E16" s="39" t="s">
        <v>161</v>
      </c>
      <c r="F16" s="39" t="s">
        <v>161</v>
      </c>
      <c r="G16" s="37" t="s">
        <v>162</v>
      </c>
      <c r="H16" s="39"/>
      <c r="I16" s="39"/>
      <c r="J16" s="40" t="s">
        <v>171</v>
      </c>
    </row>
    <row r="17" customFormat="false" ht="37.5" hidden="false" customHeight="true" outlineLevel="0" collapsed="false">
      <c r="A17" s="33" t="s">
        <v>93</v>
      </c>
      <c r="B17" s="34" t="n">
        <v>62.15</v>
      </c>
      <c r="C17" s="33" t="s">
        <v>33</v>
      </c>
      <c r="D17" s="33" t="s">
        <v>161</v>
      </c>
      <c r="E17" s="35" t="s">
        <v>161</v>
      </c>
      <c r="F17" s="35" t="s">
        <v>161</v>
      </c>
      <c r="G17" s="33" t="s">
        <v>162</v>
      </c>
      <c r="H17" s="35"/>
      <c r="I17" s="35"/>
      <c r="J17" s="36" t="s">
        <v>172</v>
      </c>
    </row>
    <row r="18" customFormat="false" ht="37.5" hidden="false" customHeight="true" outlineLevel="0" collapsed="false">
      <c r="A18" s="37" t="s">
        <v>88</v>
      </c>
      <c r="B18" s="38" t="n">
        <v>116.1</v>
      </c>
      <c r="C18" s="37" t="s">
        <v>33</v>
      </c>
      <c r="D18" s="37" t="s">
        <v>173</v>
      </c>
      <c r="E18" s="39" t="s">
        <v>161</v>
      </c>
      <c r="F18" s="39" t="s">
        <v>161</v>
      </c>
      <c r="G18" s="37" t="s">
        <v>162</v>
      </c>
      <c r="H18" s="39"/>
      <c r="I18" s="39"/>
      <c r="J18" s="40" t="s">
        <v>174</v>
      </c>
    </row>
    <row r="19" customFormat="false" ht="37.5" hidden="false" customHeight="true" outlineLevel="0" collapsed="false">
      <c r="A19" s="33" t="s">
        <v>92</v>
      </c>
      <c r="B19" s="34" t="n">
        <v>54.58</v>
      </c>
      <c r="C19" s="33" t="s">
        <v>33</v>
      </c>
      <c r="D19" s="33" t="s">
        <v>173</v>
      </c>
      <c r="E19" s="35" t="s">
        <v>161</v>
      </c>
      <c r="F19" s="35" t="s">
        <v>161</v>
      </c>
      <c r="G19" s="33" t="s">
        <v>162</v>
      </c>
      <c r="H19" s="35"/>
      <c r="I19" s="35"/>
      <c r="J19" s="36" t="s">
        <v>175</v>
      </c>
    </row>
    <row r="20" customFormat="false" ht="37.5" hidden="false" customHeight="true" outlineLevel="0" collapsed="false">
      <c r="A20" s="37" t="s">
        <v>46</v>
      </c>
      <c r="B20" s="38" t="n">
        <v>88.68</v>
      </c>
      <c r="C20" s="37" t="s">
        <v>34</v>
      </c>
      <c r="D20" s="37" t="s">
        <v>176</v>
      </c>
      <c r="E20" s="39" t="s">
        <v>161</v>
      </c>
      <c r="F20" s="39" t="s">
        <v>161</v>
      </c>
      <c r="G20" s="37" t="s">
        <v>177</v>
      </c>
      <c r="H20" s="39"/>
      <c r="I20" s="39"/>
      <c r="J20" s="40" t="s">
        <v>178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28"/>
    <col collapsed="false" customWidth="true" hidden="false" outlineLevel="0" max="9" min="9" style="0" width="35"/>
  </cols>
  <sheetData>
    <row r="1" customFormat="false" ht="17.35" hidden="false" customHeight="false" outlineLevel="0" collapsed="false">
      <c r="A1" s="1" t="s">
        <v>179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180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19" t="s">
        <v>181</v>
      </c>
      <c r="B4" s="19" t="s">
        <v>60</v>
      </c>
      <c r="C4" s="19" t="s">
        <v>182</v>
      </c>
      <c r="D4" s="19" t="s">
        <v>183</v>
      </c>
      <c r="E4" s="19" t="s">
        <v>184</v>
      </c>
      <c r="F4" s="19" t="s">
        <v>185</v>
      </c>
      <c r="G4" s="19" t="s">
        <v>186</v>
      </c>
      <c r="H4" s="19" t="s">
        <v>187</v>
      </c>
      <c r="I4" s="19" t="s">
        <v>188</v>
      </c>
    </row>
    <row r="5" customFormat="false" ht="49.5" hidden="false" customHeight="true" outlineLevel="0" collapsed="false">
      <c r="A5" s="41" t="s">
        <v>189</v>
      </c>
      <c r="B5" s="41" t="s">
        <v>81</v>
      </c>
      <c r="C5" s="41" t="s">
        <v>190</v>
      </c>
      <c r="D5" s="41" t="s">
        <v>191</v>
      </c>
      <c r="E5" s="41" t="s">
        <v>192</v>
      </c>
      <c r="F5" s="41" t="n">
        <v>4</v>
      </c>
      <c r="G5" s="41" t="s">
        <v>193</v>
      </c>
      <c r="H5" s="41"/>
      <c r="I5" s="41"/>
    </row>
    <row r="6" customFormat="false" ht="31.5" hidden="false" customHeight="true" outlineLevel="0" collapsed="false">
      <c r="A6" s="42"/>
      <c r="B6" s="42"/>
      <c r="C6" s="42"/>
      <c r="D6" s="42"/>
      <c r="E6" s="42"/>
      <c r="F6" s="42"/>
      <c r="G6" s="42"/>
      <c r="H6" s="42"/>
      <c r="I6" s="42"/>
    </row>
    <row r="7" customFormat="false" ht="31.5" hidden="false" customHeight="true" outlineLevel="0" collapsed="false">
      <c r="A7" s="43"/>
      <c r="B7" s="43"/>
      <c r="C7" s="43"/>
      <c r="D7" s="43"/>
      <c r="E7" s="43"/>
      <c r="F7" s="43"/>
      <c r="G7" s="43"/>
      <c r="H7" s="43"/>
      <c r="I7" s="43"/>
    </row>
    <row r="8" customFormat="false" ht="31.5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</row>
    <row r="9" customFormat="false" ht="31.5" hidden="false" customHeight="true" outlineLevel="0" collapsed="false">
      <c r="A9" s="43"/>
      <c r="B9" s="43"/>
      <c r="C9" s="43"/>
      <c r="D9" s="43"/>
      <c r="E9" s="43"/>
      <c r="F9" s="43"/>
      <c r="G9" s="43"/>
      <c r="H9" s="43"/>
      <c r="I9" s="43"/>
    </row>
    <row r="10" customFormat="false" ht="31.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</row>
    <row r="11" customFormat="false" ht="31.5" hidden="false" customHeight="true" outlineLevel="0" collapsed="false">
      <c r="A11" s="43"/>
      <c r="B11" s="43"/>
      <c r="C11" s="43"/>
      <c r="D11" s="43"/>
      <c r="E11" s="43"/>
      <c r="F11" s="43"/>
      <c r="G11" s="43"/>
      <c r="H11" s="43"/>
      <c r="I11" s="43"/>
    </row>
    <row r="12" customFormat="false" ht="31.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</row>
    <row r="13" customFormat="false" ht="31.5" hidden="false" customHeight="true" outlineLevel="0" collapsed="false">
      <c r="A13" s="43"/>
      <c r="B13" s="43"/>
      <c r="C13" s="43"/>
      <c r="D13" s="43"/>
      <c r="E13" s="43"/>
      <c r="F13" s="43"/>
      <c r="G13" s="43"/>
      <c r="H13" s="43"/>
      <c r="I13" s="43"/>
    </row>
    <row r="14" customFormat="false" ht="31.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</row>
    <row r="15" customFormat="false" ht="31.5" hidden="false" customHeight="true" outlineLevel="0" collapsed="false">
      <c r="A15" s="43"/>
      <c r="B15" s="43"/>
      <c r="C15" s="43"/>
      <c r="D15" s="43"/>
      <c r="E15" s="43"/>
      <c r="F15" s="43"/>
      <c r="G15" s="43"/>
      <c r="H15" s="43"/>
      <c r="I15" s="43"/>
    </row>
    <row r="16" customFormat="false" ht="31.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</row>
    <row r="17" customFormat="false" ht="31.5" hidden="false" customHeight="true" outlineLevel="0" collapsed="false">
      <c r="A17" s="43"/>
      <c r="B17" s="43"/>
      <c r="C17" s="43"/>
      <c r="D17" s="43"/>
      <c r="E17" s="43"/>
      <c r="F17" s="43"/>
      <c r="G17" s="43"/>
      <c r="H17" s="43"/>
      <c r="I17" s="43"/>
    </row>
    <row r="18" customFormat="false" ht="31.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</row>
    <row r="19" customFormat="false" ht="31.5" hidden="false" customHeight="true" outlineLevel="0" collapsed="false">
      <c r="A19" s="43"/>
      <c r="B19" s="43"/>
      <c r="C19" s="43"/>
      <c r="D19" s="43"/>
      <c r="E19" s="43"/>
      <c r="F19" s="43"/>
      <c r="G19" s="43"/>
      <c r="H19" s="43"/>
      <c r="I19" s="43"/>
    </row>
    <row r="20" customFormat="false" ht="31.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</row>
    <row r="21" customFormat="false" ht="31.5" hidden="false" customHeight="true" outlineLevel="0" collapsed="false">
      <c r="A21" s="43"/>
      <c r="B21" s="43"/>
      <c r="C21" s="43"/>
      <c r="D21" s="43"/>
      <c r="E21" s="43"/>
      <c r="F21" s="43"/>
      <c r="G21" s="43"/>
      <c r="H21" s="43"/>
      <c r="I21" s="43"/>
    </row>
    <row r="22" customFormat="false" ht="31.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</row>
    <row r="23" customFormat="false" ht="31.5" hidden="false" customHeight="true" outlineLevel="0" collapsed="false">
      <c r="A23" s="43"/>
      <c r="B23" s="43"/>
      <c r="C23" s="43"/>
      <c r="D23" s="43"/>
      <c r="E23" s="43"/>
      <c r="F23" s="43"/>
      <c r="G23" s="43"/>
      <c r="H23" s="43"/>
      <c r="I23" s="43"/>
    </row>
    <row r="24" customFormat="false" ht="31.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</row>
    <row r="25" customFormat="false" ht="31.5" hidden="false" customHeight="true" outlineLevel="0" collapsed="false">
      <c r="A25" s="43"/>
      <c r="B25" s="43"/>
      <c r="C25" s="43"/>
      <c r="D25" s="43"/>
      <c r="E25" s="43"/>
      <c r="F25" s="43"/>
      <c r="G25" s="43"/>
      <c r="H25" s="43"/>
      <c r="I25" s="43"/>
    </row>
    <row r="26" customFormat="false" ht="31.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</row>
    <row r="27" customFormat="false" ht="31.5" hidden="false" customHeight="true" outlineLevel="0" collapsed="false">
      <c r="A27" s="43"/>
      <c r="B27" s="43"/>
      <c r="C27" s="43"/>
      <c r="D27" s="43"/>
      <c r="E27" s="43"/>
      <c r="F27" s="43"/>
      <c r="G27" s="43"/>
      <c r="H27" s="43"/>
      <c r="I27" s="43"/>
    </row>
    <row r="28" customFormat="false" ht="31.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</row>
    <row r="29" customFormat="false" ht="31.5" hidden="false" customHeight="true" outlineLevel="0" collapsed="false">
      <c r="A29" s="43"/>
      <c r="B29" s="43"/>
      <c r="C29" s="43"/>
      <c r="D29" s="43"/>
      <c r="E29" s="43"/>
      <c r="F29" s="43"/>
      <c r="G29" s="43"/>
      <c r="H29" s="43"/>
      <c r="I29" s="43"/>
    </row>
    <row r="30" customFormat="false" ht="31.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8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195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19" t="s">
        <v>196</v>
      </c>
      <c r="B4" s="19" t="s">
        <v>197</v>
      </c>
      <c r="C4" s="19" t="s">
        <v>60</v>
      </c>
      <c r="D4" s="19" t="s">
        <v>198</v>
      </c>
      <c r="E4" s="19" t="s">
        <v>199</v>
      </c>
      <c r="F4" s="19" t="s">
        <v>61</v>
      </c>
      <c r="G4" s="19" t="s">
        <v>62</v>
      </c>
      <c r="H4" s="19" t="s">
        <v>200</v>
      </c>
      <c r="I4" s="19" t="s">
        <v>201</v>
      </c>
      <c r="J4" s="19" t="s">
        <v>32</v>
      </c>
      <c r="K4" s="19" t="s">
        <v>3</v>
      </c>
    </row>
    <row r="5" customFormat="false" ht="15" hidden="false" customHeight="false" outlineLevel="0" collapsed="false">
      <c r="A5" s="21" t="s">
        <v>202</v>
      </c>
      <c r="B5" s="21" t="s">
        <v>203</v>
      </c>
      <c r="C5" s="5" t="s">
        <v>204</v>
      </c>
      <c r="D5" s="44" t="s">
        <v>205</v>
      </c>
      <c r="E5" s="5" t="s">
        <v>206</v>
      </c>
      <c r="F5" s="20" t="n">
        <v>7</v>
      </c>
      <c r="G5" s="20" t="n">
        <v>225.8</v>
      </c>
      <c r="H5" s="20" t="n">
        <v>0</v>
      </c>
      <c r="I5" s="6" t="n">
        <v>-17243.66</v>
      </c>
      <c r="J5" s="21" t="s">
        <v>33</v>
      </c>
      <c r="K5" s="5" t="s">
        <v>207</v>
      </c>
    </row>
    <row r="6" customFormat="false" ht="15" hidden="false" customHeight="false" outlineLevel="0" collapsed="false">
      <c r="A6" s="25" t="s">
        <v>208</v>
      </c>
      <c r="B6" s="25" t="s">
        <v>208</v>
      </c>
      <c r="C6" s="23" t="s">
        <v>78</v>
      </c>
      <c r="D6" s="44" t="s">
        <v>205</v>
      </c>
      <c r="E6" s="23" t="s">
        <v>209</v>
      </c>
      <c r="F6" s="24" t="n">
        <v>1510</v>
      </c>
      <c r="G6" s="24"/>
      <c r="H6" s="24" t="n">
        <v>0</v>
      </c>
      <c r="I6" s="27" t="n">
        <v>13212.5</v>
      </c>
      <c r="J6" s="25" t="s">
        <v>33</v>
      </c>
      <c r="K6" s="23" t="s">
        <v>207</v>
      </c>
    </row>
    <row r="7" customFormat="false" ht="15" hidden="false" customHeight="false" outlineLevel="0" collapsed="false">
      <c r="A7" s="21" t="s">
        <v>210</v>
      </c>
      <c r="B7" s="21" t="s">
        <v>210</v>
      </c>
      <c r="C7" s="5" t="s">
        <v>81</v>
      </c>
      <c r="D7" s="44" t="s">
        <v>205</v>
      </c>
      <c r="E7" s="5" t="s">
        <v>209</v>
      </c>
      <c r="F7" s="20" t="n">
        <v>1500</v>
      </c>
      <c r="G7" s="20"/>
      <c r="H7" s="20" t="n">
        <v>0</v>
      </c>
      <c r="I7" s="6" t="n">
        <v>2115.82</v>
      </c>
      <c r="J7" s="21" t="s">
        <v>33</v>
      </c>
      <c r="K7" s="5" t="s">
        <v>207</v>
      </c>
    </row>
    <row r="8" customFormat="false" ht="15" hidden="false" customHeight="false" outlineLevel="0" collapsed="false">
      <c r="A8" s="25" t="s">
        <v>211</v>
      </c>
      <c r="B8" s="25" t="s">
        <v>211</v>
      </c>
      <c r="C8" s="23" t="s">
        <v>95</v>
      </c>
      <c r="D8" s="44" t="s">
        <v>205</v>
      </c>
      <c r="E8" s="23" t="s">
        <v>209</v>
      </c>
      <c r="F8" s="24" t="n">
        <v>765</v>
      </c>
      <c r="G8" s="24"/>
      <c r="H8" s="24" t="n">
        <v>0</v>
      </c>
      <c r="I8" s="27" t="n">
        <v>6471.02</v>
      </c>
      <c r="J8" s="25" t="s">
        <v>33</v>
      </c>
      <c r="K8" s="23" t="s">
        <v>207</v>
      </c>
    </row>
    <row r="9" customFormat="false" ht="15" hidden="false" customHeight="false" outlineLevel="0" collapsed="false">
      <c r="A9" s="21" t="s">
        <v>212</v>
      </c>
      <c r="B9" s="21" t="s">
        <v>213</v>
      </c>
      <c r="C9" s="5" t="s">
        <v>214</v>
      </c>
      <c r="D9" s="44" t="s">
        <v>205</v>
      </c>
      <c r="E9" s="5" t="s">
        <v>215</v>
      </c>
      <c r="F9" s="20" t="n">
        <v>-249.4388</v>
      </c>
      <c r="G9" s="20" t="n">
        <v>200.45</v>
      </c>
      <c r="H9" s="20" t="n">
        <v>0</v>
      </c>
      <c r="I9" s="6" t="n">
        <v>50000.01</v>
      </c>
      <c r="J9" s="21" t="s">
        <v>33</v>
      </c>
      <c r="K9" s="5" t="s">
        <v>207</v>
      </c>
    </row>
    <row r="10" customFormat="false" ht="15" hidden="false" customHeight="false" outlineLevel="0" collapsed="false">
      <c r="A10" s="25" t="s">
        <v>216</v>
      </c>
      <c r="B10" s="25" t="s">
        <v>217</v>
      </c>
      <c r="C10" s="23" t="s">
        <v>111</v>
      </c>
      <c r="D10" s="44" t="s">
        <v>205</v>
      </c>
      <c r="E10" s="23" t="s">
        <v>218</v>
      </c>
      <c r="F10" s="24" t="n">
        <v>1000</v>
      </c>
      <c r="G10" s="24" t="n">
        <v>108.1</v>
      </c>
      <c r="H10" s="24" t="n">
        <v>0</v>
      </c>
      <c r="I10" s="27" t="n">
        <v>-108197.29</v>
      </c>
      <c r="J10" s="25" t="s">
        <v>33</v>
      </c>
      <c r="K10" s="23" t="s">
        <v>207</v>
      </c>
    </row>
    <row r="11" customFormat="false" ht="15" hidden="false" customHeight="false" outlineLevel="0" collapsed="false">
      <c r="A11" s="21" t="s">
        <v>216</v>
      </c>
      <c r="B11" s="21" t="s">
        <v>217</v>
      </c>
      <c r="C11" s="5" t="s">
        <v>95</v>
      </c>
      <c r="D11" s="44" t="s">
        <v>205</v>
      </c>
      <c r="E11" s="5" t="s">
        <v>206</v>
      </c>
      <c r="F11" s="20" t="n">
        <v>100</v>
      </c>
      <c r="G11" s="20" t="n">
        <v>375.85</v>
      </c>
      <c r="H11" s="20" t="n">
        <v>0</v>
      </c>
      <c r="I11" s="6" t="n">
        <v>-54408.11</v>
      </c>
      <c r="J11" s="21" t="s">
        <v>33</v>
      </c>
      <c r="K11" s="5" t="s">
        <v>207</v>
      </c>
    </row>
    <row r="12" customFormat="false" ht="15" hidden="false" customHeight="false" outlineLevel="0" collapsed="false">
      <c r="A12" s="25" t="s">
        <v>219</v>
      </c>
      <c r="B12" s="25" t="s">
        <v>219</v>
      </c>
      <c r="C12" s="23" t="s">
        <v>88</v>
      </c>
      <c r="D12" s="44" t="s">
        <v>205</v>
      </c>
      <c r="E12" s="23" t="s">
        <v>209</v>
      </c>
      <c r="F12" s="24" t="n">
        <v>3000</v>
      </c>
      <c r="G12" s="24"/>
      <c r="H12" s="24" t="n">
        <v>0</v>
      </c>
      <c r="I12" s="27" t="n">
        <v>1860</v>
      </c>
      <c r="J12" s="25" t="s">
        <v>33</v>
      </c>
      <c r="K12" s="23" t="s">
        <v>207</v>
      </c>
    </row>
    <row r="13" customFormat="false" ht="15" hidden="false" customHeight="false" outlineLevel="0" collapsed="false">
      <c r="A13" s="21" t="s">
        <v>220</v>
      </c>
      <c r="B13" s="21" t="s">
        <v>221</v>
      </c>
      <c r="C13" s="5" t="s">
        <v>109</v>
      </c>
      <c r="D13" s="44" t="s">
        <v>205</v>
      </c>
      <c r="E13" s="5" t="s">
        <v>206</v>
      </c>
      <c r="F13" s="20" t="n">
        <v>100</v>
      </c>
      <c r="G13" s="20" t="n">
        <v>66.1</v>
      </c>
      <c r="H13" s="20" t="n">
        <v>0</v>
      </c>
      <c r="I13" s="6" t="n">
        <v>-62683.48</v>
      </c>
      <c r="J13" s="21" t="s">
        <v>33</v>
      </c>
      <c r="K13" s="5" t="s">
        <v>207</v>
      </c>
    </row>
    <row r="14" customFormat="false" ht="15" hidden="false" customHeight="false" outlineLevel="0" collapsed="false">
      <c r="A14" s="25" t="s">
        <v>222</v>
      </c>
      <c r="B14" s="25" t="s">
        <v>222</v>
      </c>
      <c r="C14" s="23" t="s">
        <v>70</v>
      </c>
      <c r="D14" s="44" t="s">
        <v>205</v>
      </c>
      <c r="E14" s="23" t="s">
        <v>209</v>
      </c>
      <c r="F14" s="24" t="n">
        <v>3400</v>
      </c>
      <c r="G14" s="24"/>
      <c r="H14" s="24" t="n">
        <v>0</v>
      </c>
      <c r="I14" s="27" t="n">
        <v>4930</v>
      </c>
      <c r="J14" s="25" t="s">
        <v>33</v>
      </c>
      <c r="K14" s="23" t="s">
        <v>207</v>
      </c>
    </row>
    <row r="15" customFormat="false" ht="15" hidden="false" customHeight="false" outlineLevel="0" collapsed="false">
      <c r="A15" s="21" t="s">
        <v>223</v>
      </c>
      <c r="B15" s="21" t="s">
        <v>223</v>
      </c>
      <c r="C15" s="5" t="s">
        <v>101</v>
      </c>
      <c r="D15" s="44" t="s">
        <v>205</v>
      </c>
      <c r="E15" s="5" t="s">
        <v>209</v>
      </c>
      <c r="F15" s="20" t="n">
        <v>1500</v>
      </c>
      <c r="G15" s="20"/>
      <c r="H15" s="20" t="n">
        <v>0</v>
      </c>
      <c r="I15" s="6" t="n">
        <v>2250</v>
      </c>
      <c r="J15" s="21" t="s">
        <v>33</v>
      </c>
      <c r="K15" s="5" t="s">
        <v>207</v>
      </c>
    </row>
    <row r="16" customFormat="false" ht="15" hidden="false" customHeight="false" outlineLevel="0" collapsed="false">
      <c r="A16" s="25" t="s">
        <v>224</v>
      </c>
      <c r="B16" s="25" t="s">
        <v>225</v>
      </c>
      <c r="C16" s="23" t="s">
        <v>109</v>
      </c>
      <c r="D16" s="44" t="s">
        <v>205</v>
      </c>
      <c r="E16" s="23" t="s">
        <v>206</v>
      </c>
      <c r="F16" s="24" t="n">
        <v>150</v>
      </c>
      <c r="G16" s="24" t="n">
        <v>126.14</v>
      </c>
      <c r="H16" s="24" t="n">
        <v>0</v>
      </c>
      <c r="I16" s="27" t="n">
        <v>-178814.77</v>
      </c>
      <c r="J16" s="25" t="s">
        <v>33</v>
      </c>
      <c r="K16" s="23" t="s">
        <v>207</v>
      </c>
    </row>
    <row r="17" customFormat="false" ht="15" hidden="false" customHeight="false" outlineLevel="0" collapsed="false">
      <c r="A17" s="21" t="s">
        <v>224</v>
      </c>
      <c r="B17" s="21" t="s">
        <v>226</v>
      </c>
      <c r="C17" s="5" t="s">
        <v>95</v>
      </c>
      <c r="D17" s="44" t="s">
        <v>205</v>
      </c>
      <c r="E17" s="5" t="s">
        <v>206</v>
      </c>
      <c r="F17" s="20" t="n">
        <v>300</v>
      </c>
      <c r="G17" s="20" t="n">
        <v>369.25</v>
      </c>
      <c r="H17" s="20" t="n">
        <v>0</v>
      </c>
      <c r="I17" s="6" t="n">
        <v>-164582.4</v>
      </c>
      <c r="J17" s="21" t="s">
        <v>33</v>
      </c>
      <c r="K17" s="5" t="s">
        <v>207</v>
      </c>
    </row>
    <row r="18" customFormat="false" ht="15" hidden="false" customHeight="false" outlineLevel="0" collapsed="false">
      <c r="A18" s="25" t="s">
        <v>224</v>
      </c>
      <c r="B18" s="25" t="s">
        <v>226</v>
      </c>
      <c r="C18" s="23" t="s">
        <v>204</v>
      </c>
      <c r="D18" s="44" t="s">
        <v>205</v>
      </c>
      <c r="E18" s="23" t="s">
        <v>206</v>
      </c>
      <c r="F18" s="24" t="n">
        <v>31</v>
      </c>
      <c r="G18" s="24" t="n">
        <v>215.4</v>
      </c>
      <c r="H18" s="24" t="n">
        <v>0</v>
      </c>
      <c r="I18" s="27" t="n">
        <v>-74082.26</v>
      </c>
      <c r="J18" s="25" t="s">
        <v>33</v>
      </c>
      <c r="K18" s="23" t="s">
        <v>207</v>
      </c>
    </row>
    <row r="19" customFormat="false" ht="15" hidden="false" customHeight="false" outlineLevel="0" collapsed="false">
      <c r="A19" s="21" t="s">
        <v>224</v>
      </c>
      <c r="B19" s="21" t="s">
        <v>226</v>
      </c>
      <c r="C19" s="5" t="s">
        <v>214</v>
      </c>
      <c r="D19" s="44" t="s">
        <v>205</v>
      </c>
      <c r="E19" s="5" t="s">
        <v>215</v>
      </c>
      <c r="F19" s="20" t="n">
        <v>478.8354</v>
      </c>
      <c r="G19" s="20" t="n">
        <v>208.84</v>
      </c>
      <c r="H19" s="20" t="n">
        <v>0</v>
      </c>
      <c r="I19" s="6" t="n">
        <v>-99999.98</v>
      </c>
      <c r="J19" s="21" t="s">
        <v>33</v>
      </c>
      <c r="K19" s="5" t="s">
        <v>207</v>
      </c>
    </row>
    <row r="20" customFormat="false" ht="15" hidden="false" customHeight="false" outlineLevel="0" collapsed="false">
      <c r="A20" s="25" t="s">
        <v>224</v>
      </c>
      <c r="B20" s="25" t="s">
        <v>226</v>
      </c>
      <c r="C20" s="23" t="s">
        <v>104</v>
      </c>
      <c r="D20" s="44" t="s">
        <v>205</v>
      </c>
      <c r="E20" s="23" t="s">
        <v>206</v>
      </c>
      <c r="F20" s="24" t="n">
        <v>300</v>
      </c>
      <c r="G20" s="24" t="n">
        <v>250.8</v>
      </c>
      <c r="H20" s="24" t="n">
        <v>0</v>
      </c>
      <c r="I20" s="27" t="n">
        <v>-75307.72</v>
      </c>
      <c r="J20" s="25" t="s">
        <v>33</v>
      </c>
      <c r="K20" s="23" t="s">
        <v>207</v>
      </c>
    </row>
    <row r="21" customFormat="false" ht="15" hidden="false" customHeight="false" outlineLevel="0" collapsed="false">
      <c r="A21" s="21" t="s">
        <v>224</v>
      </c>
      <c r="B21" s="21" t="s">
        <v>224</v>
      </c>
      <c r="C21" s="5" t="s">
        <v>88</v>
      </c>
      <c r="D21" s="44" t="s">
        <v>205</v>
      </c>
      <c r="E21" s="5" t="s">
        <v>209</v>
      </c>
      <c r="F21" s="20" t="n">
        <v>3000</v>
      </c>
      <c r="G21" s="20"/>
      <c r="H21" s="20" t="n">
        <v>0</v>
      </c>
      <c r="I21" s="6" t="n">
        <v>1860</v>
      </c>
      <c r="J21" s="21" t="s">
        <v>33</v>
      </c>
      <c r="K21" s="5" t="s">
        <v>207</v>
      </c>
    </row>
    <row r="22" customFormat="false" ht="15" hidden="false" customHeight="false" outlineLevel="0" collapsed="false">
      <c r="A22" s="25" t="s">
        <v>227</v>
      </c>
      <c r="B22" s="25" t="s">
        <v>228</v>
      </c>
      <c r="C22" s="23" t="s">
        <v>96</v>
      </c>
      <c r="D22" s="44" t="s">
        <v>205</v>
      </c>
      <c r="E22" s="23" t="s">
        <v>215</v>
      </c>
      <c r="F22" s="24" t="n">
        <v>-4244.031831</v>
      </c>
      <c r="G22" s="24" t="n">
        <v>188.5</v>
      </c>
      <c r="H22" s="24" t="n">
        <v>0</v>
      </c>
      <c r="I22" s="27" t="n">
        <v>800000</v>
      </c>
      <c r="J22" s="25" t="s">
        <v>33</v>
      </c>
      <c r="K22" s="23" t="s">
        <v>207</v>
      </c>
    </row>
    <row r="23" customFormat="false" ht="15" hidden="false" customHeight="false" outlineLevel="0" collapsed="false">
      <c r="A23" s="21" t="s">
        <v>229</v>
      </c>
      <c r="B23" s="21" t="s">
        <v>230</v>
      </c>
      <c r="C23" s="5" t="s">
        <v>231</v>
      </c>
      <c r="D23" s="44" t="s">
        <v>205</v>
      </c>
      <c r="E23" s="5" t="s">
        <v>206</v>
      </c>
      <c r="F23" s="20" t="n">
        <v>315</v>
      </c>
      <c r="G23" s="20" t="n">
        <v>65.5275</v>
      </c>
      <c r="H23" s="20" t="n">
        <v>0</v>
      </c>
      <c r="I23" s="6" t="n">
        <v>-199623.98</v>
      </c>
      <c r="J23" s="21" t="s">
        <v>33</v>
      </c>
      <c r="K23" s="5" t="s">
        <v>207</v>
      </c>
    </row>
    <row r="24" customFormat="false" ht="15" hidden="false" customHeight="false" outlineLevel="0" collapsed="false">
      <c r="A24" s="25" t="s">
        <v>229</v>
      </c>
      <c r="B24" s="25" t="s">
        <v>230</v>
      </c>
      <c r="C24" s="23" t="s">
        <v>204</v>
      </c>
      <c r="D24" s="44" t="s">
        <v>205</v>
      </c>
      <c r="E24" s="23" t="s">
        <v>206</v>
      </c>
      <c r="F24" s="24" t="n">
        <v>21</v>
      </c>
      <c r="G24" s="24" t="n">
        <v>205</v>
      </c>
      <c r="H24" s="24" t="n">
        <v>0</v>
      </c>
      <c r="I24" s="27" t="n">
        <v>-48378.63</v>
      </c>
      <c r="J24" s="25" t="s">
        <v>33</v>
      </c>
      <c r="K24" s="23" t="s">
        <v>207</v>
      </c>
    </row>
    <row r="25" customFormat="false" ht="15" hidden="false" customHeight="false" outlineLevel="0" collapsed="false">
      <c r="A25" s="21" t="s">
        <v>229</v>
      </c>
      <c r="B25" s="21" t="s">
        <v>229</v>
      </c>
      <c r="C25" s="5" t="s">
        <v>97</v>
      </c>
      <c r="D25" s="44" t="s">
        <v>205</v>
      </c>
      <c r="E25" s="5" t="s">
        <v>232</v>
      </c>
      <c r="F25" s="20" t="n">
        <v>135</v>
      </c>
      <c r="G25" s="20"/>
      <c r="H25" s="20" t="n">
        <v>0</v>
      </c>
      <c r="I25" s="6" t="n">
        <v>0</v>
      </c>
      <c r="J25" s="21" t="s">
        <v>35</v>
      </c>
      <c r="K25" s="5" t="s">
        <v>207</v>
      </c>
    </row>
    <row r="26" customFormat="false" ht="15" hidden="false" customHeight="false" outlineLevel="0" collapsed="false">
      <c r="A26" s="25" t="s">
        <v>229</v>
      </c>
      <c r="B26" s="25" t="s">
        <v>229</v>
      </c>
      <c r="C26" s="23" t="s">
        <v>233</v>
      </c>
      <c r="D26" s="44" t="s">
        <v>205</v>
      </c>
      <c r="E26" s="23" t="s">
        <v>234</v>
      </c>
      <c r="F26" s="24" t="n">
        <v>-135</v>
      </c>
      <c r="G26" s="24"/>
      <c r="H26" s="24" t="n">
        <v>0</v>
      </c>
      <c r="I26" s="27" t="n">
        <v>0</v>
      </c>
      <c r="J26" s="25" t="s">
        <v>34</v>
      </c>
      <c r="K26" s="23" t="s">
        <v>207</v>
      </c>
    </row>
    <row r="27" customFormat="false" ht="15" hidden="false" customHeight="false" outlineLevel="0" collapsed="false">
      <c r="A27" s="21" t="s">
        <v>235</v>
      </c>
      <c r="B27" s="21" t="s">
        <v>235</v>
      </c>
      <c r="C27" s="5" t="s">
        <v>95</v>
      </c>
      <c r="D27" s="44" t="s">
        <v>205</v>
      </c>
      <c r="E27" s="5" t="s">
        <v>209</v>
      </c>
      <c r="F27" s="20" t="n">
        <v>365</v>
      </c>
      <c r="G27" s="20"/>
      <c r="H27" s="20" t="n">
        <v>0</v>
      </c>
      <c r="I27" s="6" t="n">
        <v>1483.99</v>
      </c>
      <c r="J27" s="21" t="s">
        <v>33</v>
      </c>
      <c r="K27" s="5" t="s">
        <v>207</v>
      </c>
    </row>
    <row r="28" customFormat="false" ht="15" hidden="false" customHeight="false" outlineLevel="0" collapsed="false">
      <c r="A28" s="25" t="s">
        <v>235</v>
      </c>
      <c r="B28" s="25" t="s">
        <v>236</v>
      </c>
      <c r="C28" s="23" t="s">
        <v>107</v>
      </c>
      <c r="D28" s="44" t="s">
        <v>205</v>
      </c>
      <c r="E28" s="23" t="s">
        <v>218</v>
      </c>
      <c r="F28" s="24" t="n">
        <v>1000</v>
      </c>
      <c r="G28" s="24" t="n">
        <v>103.6</v>
      </c>
      <c r="H28" s="24" t="n">
        <v>0</v>
      </c>
      <c r="I28" s="27" t="n">
        <v>-103703.6</v>
      </c>
      <c r="J28" s="25" t="s">
        <v>33</v>
      </c>
      <c r="K28" s="23" t="s">
        <v>207</v>
      </c>
    </row>
    <row r="29" customFormat="false" ht="15" hidden="false" customHeight="false" outlineLevel="0" collapsed="false">
      <c r="A29" s="21" t="s">
        <v>237</v>
      </c>
      <c r="B29" s="21" t="s">
        <v>238</v>
      </c>
      <c r="C29" s="5" t="s">
        <v>104</v>
      </c>
      <c r="D29" s="44" t="s">
        <v>205</v>
      </c>
      <c r="E29" s="5" t="s">
        <v>218</v>
      </c>
      <c r="F29" s="20" t="n">
        <v>500</v>
      </c>
      <c r="G29" s="20" t="n">
        <v>257.2</v>
      </c>
      <c r="H29" s="20" t="n">
        <v>0</v>
      </c>
      <c r="I29" s="6" t="n">
        <v>-128728.6</v>
      </c>
      <c r="J29" s="21" t="s">
        <v>33</v>
      </c>
      <c r="K29" s="5" t="s">
        <v>207</v>
      </c>
    </row>
    <row r="30" customFormat="false" ht="15" hidden="false" customHeight="false" outlineLevel="0" collapsed="false">
      <c r="A30" s="25" t="s">
        <v>237</v>
      </c>
      <c r="B30" s="25" t="s">
        <v>238</v>
      </c>
      <c r="C30" s="23" t="s">
        <v>78</v>
      </c>
      <c r="D30" s="44" t="s">
        <v>205</v>
      </c>
      <c r="E30" s="23" t="s">
        <v>239</v>
      </c>
      <c r="F30" s="24" t="n">
        <v>125</v>
      </c>
      <c r="G30" s="24" t="n">
        <v>374</v>
      </c>
      <c r="H30" s="24" t="n">
        <v>0</v>
      </c>
      <c r="I30" s="27" t="n">
        <v>-46829</v>
      </c>
      <c r="J30" s="25" t="s">
        <v>33</v>
      </c>
      <c r="K30" s="23" t="s">
        <v>207</v>
      </c>
    </row>
    <row r="31" customFormat="false" ht="15" hidden="false" customHeight="false" outlineLevel="0" collapsed="false">
      <c r="A31" s="21" t="s">
        <v>237</v>
      </c>
      <c r="B31" s="21" t="s">
        <v>238</v>
      </c>
      <c r="C31" s="5" t="s">
        <v>70</v>
      </c>
      <c r="D31" s="44" t="s">
        <v>205</v>
      </c>
      <c r="E31" s="5" t="s">
        <v>239</v>
      </c>
      <c r="F31" s="20" t="n">
        <v>350</v>
      </c>
      <c r="G31" s="20" t="n">
        <v>295.05</v>
      </c>
      <c r="H31" s="20" t="n">
        <v>0</v>
      </c>
      <c r="I31" s="6" t="n">
        <v>-103370.77</v>
      </c>
      <c r="J31" s="21" t="s">
        <v>33</v>
      </c>
      <c r="K31" s="5" t="s">
        <v>207</v>
      </c>
    </row>
    <row r="32" customFormat="false" ht="15" hidden="false" customHeight="false" outlineLevel="0" collapsed="false">
      <c r="A32" s="25" t="s">
        <v>240</v>
      </c>
      <c r="B32" s="25" t="s">
        <v>241</v>
      </c>
      <c r="C32" s="23" t="s">
        <v>101</v>
      </c>
      <c r="D32" s="44" t="s">
        <v>205</v>
      </c>
      <c r="E32" s="23" t="s">
        <v>206</v>
      </c>
      <c r="F32" s="24" t="n">
        <v>500</v>
      </c>
      <c r="G32" s="24" t="n">
        <v>134.85</v>
      </c>
      <c r="H32" s="24" t="n">
        <v>0</v>
      </c>
      <c r="I32" s="27" t="n">
        <v>-67504</v>
      </c>
      <c r="J32" s="25" t="s">
        <v>33</v>
      </c>
      <c r="K32" s="23" t="s">
        <v>207</v>
      </c>
    </row>
    <row r="33" customFormat="false" ht="15" hidden="false" customHeight="false" outlineLevel="0" collapsed="false">
      <c r="A33" s="21" t="s">
        <v>242</v>
      </c>
      <c r="B33" s="21" t="s">
        <v>242</v>
      </c>
      <c r="C33" s="5" t="s">
        <v>88</v>
      </c>
      <c r="D33" s="44" t="s">
        <v>205</v>
      </c>
      <c r="E33" s="5" t="s">
        <v>209</v>
      </c>
      <c r="F33" s="20" t="n">
        <v>3000</v>
      </c>
      <c r="G33" s="20"/>
      <c r="H33" s="20" t="n">
        <v>0</v>
      </c>
      <c r="I33" s="6" t="n">
        <v>1860</v>
      </c>
      <c r="J33" s="21" t="s">
        <v>33</v>
      </c>
      <c r="K33" s="5" t="s">
        <v>207</v>
      </c>
    </row>
    <row r="34" customFormat="false" ht="15" hidden="false" customHeight="false" outlineLevel="0" collapsed="false">
      <c r="A34" s="25" t="s">
        <v>243</v>
      </c>
      <c r="B34" s="25" t="s">
        <v>243</v>
      </c>
      <c r="C34" s="23" t="s">
        <v>88</v>
      </c>
      <c r="D34" s="44" t="s">
        <v>205</v>
      </c>
      <c r="E34" s="23" t="s">
        <v>209</v>
      </c>
      <c r="F34" s="24" t="n">
        <v>3000</v>
      </c>
      <c r="G34" s="24"/>
      <c r="H34" s="24" t="n">
        <v>0</v>
      </c>
      <c r="I34" s="27" t="n">
        <v>1860</v>
      </c>
      <c r="J34" s="25" t="s">
        <v>33</v>
      </c>
      <c r="K34" s="23" t="s">
        <v>207</v>
      </c>
    </row>
    <row r="35" customFormat="false" ht="15" hidden="false" customHeight="false" outlineLevel="0" collapsed="false">
      <c r="A35" s="21" t="s">
        <v>243</v>
      </c>
      <c r="B35" s="21" t="s">
        <v>243</v>
      </c>
      <c r="C35" s="5" t="s">
        <v>70</v>
      </c>
      <c r="D35" s="44" t="s">
        <v>205</v>
      </c>
      <c r="E35" s="5" t="s">
        <v>209</v>
      </c>
      <c r="F35" s="20" t="n">
        <v>3050</v>
      </c>
      <c r="G35" s="20"/>
      <c r="H35" s="20" t="n">
        <v>0</v>
      </c>
      <c r="I35" s="6" t="n">
        <v>11437.5</v>
      </c>
      <c r="J35" s="21" t="s">
        <v>33</v>
      </c>
      <c r="K35" s="5" t="s">
        <v>207</v>
      </c>
    </row>
    <row r="36" customFormat="false" ht="15" hidden="false" customHeight="false" outlineLevel="0" collapsed="false">
      <c r="A36" s="25" t="s">
        <v>244</v>
      </c>
      <c r="B36" s="25" t="s">
        <v>244</v>
      </c>
      <c r="C36" s="23" t="s">
        <v>101</v>
      </c>
      <c r="D36" s="44" t="s">
        <v>205</v>
      </c>
      <c r="E36" s="23" t="s">
        <v>209</v>
      </c>
      <c r="F36" s="24" t="n">
        <v>1000</v>
      </c>
      <c r="G36" s="24"/>
      <c r="H36" s="24" t="n">
        <v>0</v>
      </c>
      <c r="I36" s="27" t="n">
        <v>1500</v>
      </c>
      <c r="J36" s="25" t="s">
        <v>33</v>
      </c>
      <c r="K36" s="23" t="s">
        <v>207</v>
      </c>
    </row>
    <row r="37" customFormat="false" ht="15" hidden="false" customHeight="false" outlineLevel="0" collapsed="false">
      <c r="A37" s="21" t="s">
        <v>245</v>
      </c>
      <c r="B37" s="21" t="s">
        <v>245</v>
      </c>
      <c r="C37" s="5" t="s">
        <v>78</v>
      </c>
      <c r="D37" s="44" t="s">
        <v>205</v>
      </c>
      <c r="E37" s="5" t="s">
        <v>209</v>
      </c>
      <c r="F37" s="20" t="n">
        <v>1385</v>
      </c>
      <c r="G37" s="20"/>
      <c r="H37" s="20" t="n">
        <v>0</v>
      </c>
      <c r="I37" s="6" t="n">
        <v>11426.25</v>
      </c>
      <c r="J37" s="21" t="s">
        <v>33</v>
      </c>
      <c r="K37" s="5" t="s">
        <v>207</v>
      </c>
    </row>
    <row r="38" customFormat="false" ht="15" hidden="false" customHeight="false" outlineLevel="0" collapsed="false">
      <c r="A38" s="25" t="s">
        <v>246</v>
      </c>
      <c r="B38" s="25" t="s">
        <v>247</v>
      </c>
      <c r="C38" s="23" t="s">
        <v>204</v>
      </c>
      <c r="D38" s="44" t="s">
        <v>205</v>
      </c>
      <c r="E38" s="23" t="s">
        <v>206</v>
      </c>
      <c r="F38" s="24" t="n">
        <v>52</v>
      </c>
      <c r="G38" s="24" t="n">
        <v>184.62</v>
      </c>
      <c r="H38" s="24" t="n">
        <v>0</v>
      </c>
      <c r="I38" s="27" t="n">
        <v>-106058.04</v>
      </c>
      <c r="J38" s="25" t="s">
        <v>33</v>
      </c>
      <c r="K38" s="23" t="s">
        <v>207</v>
      </c>
    </row>
    <row r="39" customFormat="false" ht="15" hidden="false" customHeight="false" outlineLevel="0" collapsed="false">
      <c r="A39" s="21" t="s">
        <v>248</v>
      </c>
      <c r="B39" s="21" t="s">
        <v>246</v>
      </c>
      <c r="C39" s="5" t="s">
        <v>70</v>
      </c>
      <c r="D39" s="44" t="s">
        <v>205</v>
      </c>
      <c r="E39" s="5" t="s">
        <v>206</v>
      </c>
      <c r="F39" s="20" t="n">
        <v>500</v>
      </c>
      <c r="G39" s="20" t="n">
        <v>265</v>
      </c>
      <c r="H39" s="20" t="n">
        <v>0</v>
      </c>
      <c r="I39" s="6" t="n">
        <v>-132632.5</v>
      </c>
      <c r="J39" s="21" t="s">
        <v>33</v>
      </c>
      <c r="K39" s="5" t="s">
        <v>207</v>
      </c>
    </row>
    <row r="40" customFormat="false" ht="15" hidden="false" customHeight="false" outlineLevel="0" collapsed="false">
      <c r="A40" s="25" t="s">
        <v>249</v>
      </c>
      <c r="B40" s="25" t="s">
        <v>250</v>
      </c>
      <c r="C40" s="23" t="s">
        <v>251</v>
      </c>
      <c r="D40" s="44" t="s">
        <v>205</v>
      </c>
      <c r="E40" s="23" t="s">
        <v>206</v>
      </c>
      <c r="F40" s="24" t="n">
        <v>-1384</v>
      </c>
      <c r="G40" s="24" t="n">
        <v>28.73</v>
      </c>
      <c r="H40" s="24" t="n">
        <v>0</v>
      </c>
      <c r="I40" s="27" t="n">
        <v>383743.76</v>
      </c>
      <c r="J40" s="25" t="s">
        <v>33</v>
      </c>
      <c r="K40" s="23" t="s">
        <v>207</v>
      </c>
    </row>
    <row r="41" customFormat="false" ht="15" hidden="false" customHeight="false" outlineLevel="0" collapsed="false">
      <c r="A41" s="21" t="s">
        <v>249</v>
      </c>
      <c r="B41" s="21" t="s">
        <v>250</v>
      </c>
      <c r="C41" s="5" t="s">
        <v>252</v>
      </c>
      <c r="D41" s="44" t="s">
        <v>205</v>
      </c>
      <c r="E41" s="5" t="s">
        <v>215</v>
      </c>
      <c r="F41" s="20" t="n">
        <v>-153.0166</v>
      </c>
      <c r="G41" s="20" t="n">
        <v>3267.62</v>
      </c>
      <c r="H41" s="20" t="n">
        <v>0</v>
      </c>
      <c r="I41" s="6" t="n">
        <v>500000.1</v>
      </c>
      <c r="J41" s="21" t="s">
        <v>33</v>
      </c>
      <c r="K41" s="5" t="s">
        <v>207</v>
      </c>
    </row>
    <row r="42" customFormat="false" ht="15" hidden="false" customHeight="false" outlineLevel="0" collapsed="false">
      <c r="A42" s="25" t="s">
        <v>249</v>
      </c>
      <c r="B42" s="25" t="s">
        <v>250</v>
      </c>
      <c r="C42" s="23" t="s">
        <v>253</v>
      </c>
      <c r="D42" s="45" t="s">
        <v>254</v>
      </c>
      <c r="E42" s="23" t="s">
        <v>206</v>
      </c>
      <c r="F42" s="24" t="n">
        <v>-3587</v>
      </c>
      <c r="G42" s="24" t="n">
        <v>11.282</v>
      </c>
      <c r="H42" s="24" t="n">
        <v>0</v>
      </c>
      <c r="I42" s="27" t="n">
        <v>392305.81</v>
      </c>
      <c r="J42" s="25" t="s">
        <v>33</v>
      </c>
      <c r="K42" s="23" t="s">
        <v>207</v>
      </c>
    </row>
    <row r="43" customFormat="false" ht="15" hidden="false" customHeight="false" outlineLevel="0" collapsed="false">
      <c r="A43" s="21" t="s">
        <v>249</v>
      </c>
      <c r="B43" s="21" t="s">
        <v>249</v>
      </c>
      <c r="C43" s="5" t="s">
        <v>81</v>
      </c>
      <c r="D43" s="44" t="s">
        <v>205</v>
      </c>
      <c r="E43" s="5" t="s">
        <v>209</v>
      </c>
      <c r="F43" s="20" t="n">
        <v>1500</v>
      </c>
      <c r="G43" s="20"/>
      <c r="H43" s="20" t="n">
        <v>0</v>
      </c>
      <c r="I43" s="6" t="n">
        <v>2068.74</v>
      </c>
      <c r="J43" s="21" t="s">
        <v>33</v>
      </c>
      <c r="K43" s="5" t="s">
        <v>207</v>
      </c>
    </row>
    <row r="44" customFormat="false" ht="15" hidden="false" customHeight="false" outlineLevel="0" collapsed="false">
      <c r="A44" s="25" t="s">
        <v>249</v>
      </c>
      <c r="B44" s="25" t="s">
        <v>250</v>
      </c>
      <c r="C44" s="23" t="s">
        <v>255</v>
      </c>
      <c r="D44" s="45" t="s">
        <v>254</v>
      </c>
      <c r="E44" s="23" t="s">
        <v>206</v>
      </c>
      <c r="F44" s="24" t="n">
        <v>-402</v>
      </c>
      <c r="G44" s="24" t="n">
        <v>56.48</v>
      </c>
      <c r="H44" s="24" t="n">
        <v>0</v>
      </c>
      <c r="I44" s="27" t="n">
        <v>219496.23</v>
      </c>
      <c r="J44" s="25" t="s">
        <v>33</v>
      </c>
      <c r="K44" s="23" t="s">
        <v>207</v>
      </c>
    </row>
    <row r="45" customFormat="false" ht="15" hidden="false" customHeight="false" outlineLevel="0" collapsed="false">
      <c r="A45" s="21" t="s">
        <v>249</v>
      </c>
      <c r="B45" s="21" t="s">
        <v>250</v>
      </c>
      <c r="C45" s="5" t="s">
        <v>233</v>
      </c>
      <c r="D45" s="44" t="s">
        <v>205</v>
      </c>
      <c r="E45" s="5" t="s">
        <v>206</v>
      </c>
      <c r="F45" s="20" t="n">
        <v>-322</v>
      </c>
      <c r="G45" s="20" t="n">
        <v>129.2</v>
      </c>
      <c r="H45" s="20" t="n">
        <v>0</v>
      </c>
      <c r="I45" s="6" t="n">
        <v>401656.04</v>
      </c>
      <c r="J45" s="21" t="s">
        <v>33</v>
      </c>
      <c r="K45" s="5" t="s">
        <v>207</v>
      </c>
    </row>
    <row r="46" customFormat="false" ht="15" hidden="false" customHeight="false" outlineLevel="0" collapsed="false">
      <c r="A46" s="25" t="s">
        <v>256</v>
      </c>
      <c r="B46" s="25" t="s">
        <v>256</v>
      </c>
      <c r="C46" s="23" t="s">
        <v>95</v>
      </c>
      <c r="D46" s="44" t="s">
        <v>205</v>
      </c>
      <c r="E46" s="23" t="s">
        <v>209</v>
      </c>
      <c r="F46" s="24" t="n">
        <v>365</v>
      </c>
      <c r="G46" s="24"/>
      <c r="H46" s="24" t="n">
        <v>0</v>
      </c>
      <c r="I46" s="27" t="n">
        <v>3045.88</v>
      </c>
      <c r="J46" s="25" t="s">
        <v>33</v>
      </c>
      <c r="K46" s="23" t="s">
        <v>207</v>
      </c>
    </row>
    <row r="47" customFormat="false" ht="15" hidden="false" customHeight="false" outlineLevel="0" collapsed="false">
      <c r="A47" s="21" t="s">
        <v>257</v>
      </c>
      <c r="B47" s="21" t="s">
        <v>258</v>
      </c>
      <c r="C47" s="5" t="s">
        <v>95</v>
      </c>
      <c r="D47" s="44" t="s">
        <v>205</v>
      </c>
      <c r="E47" s="5" t="s">
        <v>206</v>
      </c>
      <c r="F47" s="20" t="n">
        <v>100</v>
      </c>
      <c r="G47" s="20" t="n">
        <v>596.326</v>
      </c>
      <c r="H47" s="20" t="n">
        <v>0</v>
      </c>
      <c r="I47" s="6" t="n">
        <v>-90684.44</v>
      </c>
      <c r="J47" s="21" t="s">
        <v>33</v>
      </c>
      <c r="K47" s="5" t="s">
        <v>207</v>
      </c>
    </row>
    <row r="48" customFormat="false" ht="15" hidden="false" customHeight="false" outlineLevel="0" collapsed="false">
      <c r="A48" s="25" t="s">
        <v>259</v>
      </c>
      <c r="B48" s="25" t="s">
        <v>260</v>
      </c>
      <c r="C48" s="23" t="s">
        <v>101</v>
      </c>
      <c r="D48" s="44" t="s">
        <v>205</v>
      </c>
      <c r="E48" s="23" t="s">
        <v>206</v>
      </c>
      <c r="F48" s="24" t="n">
        <v>1000</v>
      </c>
      <c r="G48" s="24" t="n">
        <v>162.25</v>
      </c>
      <c r="H48" s="24" t="n">
        <v>0</v>
      </c>
      <c r="I48" s="27" t="n">
        <v>-162412.25</v>
      </c>
      <c r="J48" s="25" t="s">
        <v>33</v>
      </c>
      <c r="K48" s="23" t="s">
        <v>207</v>
      </c>
    </row>
    <row r="49" customFormat="false" ht="15" hidden="false" customHeight="false" outlineLevel="0" collapsed="false">
      <c r="A49" s="21" t="s">
        <v>261</v>
      </c>
      <c r="B49" s="21" t="s">
        <v>262</v>
      </c>
      <c r="C49" s="5" t="s">
        <v>214</v>
      </c>
      <c r="D49" s="44" t="s">
        <v>205</v>
      </c>
      <c r="E49" s="5" t="s">
        <v>215</v>
      </c>
      <c r="F49" s="20" t="n">
        <v>342.0284</v>
      </c>
      <c r="G49" s="20" t="n">
        <v>219.28</v>
      </c>
      <c r="H49" s="20" t="n">
        <v>0</v>
      </c>
      <c r="I49" s="6" t="n">
        <v>-74999.99</v>
      </c>
      <c r="J49" s="21" t="s">
        <v>33</v>
      </c>
      <c r="K49" s="5" t="s">
        <v>207</v>
      </c>
    </row>
    <row r="50" customFormat="false" ht="15" hidden="false" customHeight="false" outlineLevel="0" collapsed="false">
      <c r="A50" s="25" t="s">
        <v>261</v>
      </c>
      <c r="B50" s="25" t="s">
        <v>261</v>
      </c>
      <c r="C50" s="23" t="s">
        <v>263</v>
      </c>
      <c r="D50" s="44" t="s">
        <v>205</v>
      </c>
      <c r="E50" s="23" t="s">
        <v>215</v>
      </c>
      <c r="F50" s="24" t="n">
        <v>96.5246</v>
      </c>
      <c r="G50" s="24" t="n">
        <v>2072.01</v>
      </c>
      <c r="H50" s="24" t="n">
        <v>0</v>
      </c>
      <c r="I50" s="27" t="n">
        <v>-199999.94</v>
      </c>
      <c r="J50" s="25" t="s">
        <v>33</v>
      </c>
      <c r="K50" s="23" t="s">
        <v>207</v>
      </c>
    </row>
    <row r="51" customFormat="false" ht="15" hidden="false" customHeight="false" outlineLevel="0" collapsed="false">
      <c r="A51" s="21" t="s">
        <v>264</v>
      </c>
      <c r="B51" s="21" t="s">
        <v>259</v>
      </c>
      <c r="C51" s="5" t="s">
        <v>70</v>
      </c>
      <c r="D51" s="44" t="s">
        <v>205</v>
      </c>
      <c r="E51" s="5" t="s">
        <v>206</v>
      </c>
      <c r="F51" s="20" t="n">
        <v>300</v>
      </c>
      <c r="G51" s="20" t="n">
        <v>312.65</v>
      </c>
      <c r="H51" s="20" t="n">
        <v>0</v>
      </c>
      <c r="I51" s="6" t="n">
        <v>-93888.8</v>
      </c>
      <c r="J51" s="21" t="s">
        <v>33</v>
      </c>
      <c r="K51" s="5" t="s">
        <v>207</v>
      </c>
    </row>
    <row r="52" customFormat="false" ht="15" hidden="false" customHeight="false" outlineLevel="0" collapsed="false">
      <c r="A52" s="25" t="s">
        <v>265</v>
      </c>
      <c r="B52" s="25" t="s">
        <v>266</v>
      </c>
      <c r="C52" s="23" t="s">
        <v>204</v>
      </c>
      <c r="D52" s="44" t="s">
        <v>205</v>
      </c>
      <c r="E52" s="23" t="s">
        <v>206</v>
      </c>
      <c r="F52" s="24" t="n">
        <v>67</v>
      </c>
      <c r="G52" s="24" t="n">
        <v>192.04</v>
      </c>
      <c r="H52" s="24" t="n">
        <v>0</v>
      </c>
      <c r="I52" s="27" t="n">
        <v>-148259.08</v>
      </c>
      <c r="J52" s="25" t="s">
        <v>33</v>
      </c>
      <c r="K52" s="23" t="s">
        <v>207</v>
      </c>
    </row>
    <row r="53" customFormat="false" ht="15" hidden="false" customHeight="false" outlineLevel="0" collapsed="false">
      <c r="A53" s="21" t="s">
        <v>267</v>
      </c>
      <c r="B53" s="21" t="s">
        <v>268</v>
      </c>
      <c r="C53" s="5" t="s">
        <v>255</v>
      </c>
      <c r="D53" s="45" t="s">
        <v>254</v>
      </c>
      <c r="E53" s="5" t="s">
        <v>206</v>
      </c>
      <c r="F53" s="20" t="n">
        <v>207</v>
      </c>
      <c r="G53" s="20" t="n">
        <v>64.16</v>
      </c>
      <c r="H53" s="20" t="n">
        <v>0</v>
      </c>
      <c r="I53" s="6" t="n">
        <v>-149192.42</v>
      </c>
      <c r="J53" s="21" t="s">
        <v>33</v>
      </c>
      <c r="K53" s="5" t="s">
        <v>207</v>
      </c>
    </row>
    <row r="54" customFormat="false" ht="15" hidden="false" customHeight="false" outlineLevel="0" collapsed="false">
      <c r="A54" s="25" t="s">
        <v>269</v>
      </c>
      <c r="B54" s="25" t="s">
        <v>269</v>
      </c>
      <c r="C54" s="23" t="s">
        <v>70</v>
      </c>
      <c r="D54" s="44" t="s">
        <v>205</v>
      </c>
      <c r="E54" s="23" t="s">
        <v>209</v>
      </c>
      <c r="F54" s="24" t="n">
        <v>2250</v>
      </c>
      <c r="G54" s="24"/>
      <c r="H54" s="24" t="n">
        <v>0</v>
      </c>
      <c r="I54" s="27" t="n">
        <v>2700</v>
      </c>
      <c r="J54" s="25" t="s">
        <v>33</v>
      </c>
      <c r="K54" s="23" t="s">
        <v>207</v>
      </c>
    </row>
    <row r="55" customFormat="false" ht="15" hidden="false" customHeight="false" outlineLevel="0" collapsed="false">
      <c r="A55" s="21" t="s">
        <v>270</v>
      </c>
      <c r="B55" s="21" t="s">
        <v>271</v>
      </c>
      <c r="C55" s="5" t="s">
        <v>272</v>
      </c>
      <c r="D55" s="45" t="s">
        <v>254</v>
      </c>
      <c r="E55" s="5" t="s">
        <v>218</v>
      </c>
      <c r="F55" s="20" t="n">
        <v>-3700</v>
      </c>
      <c r="G55" s="20" t="n">
        <v>88</v>
      </c>
      <c r="H55" s="20" t="n">
        <v>0</v>
      </c>
      <c r="I55" s="6" t="n">
        <v>325274.4</v>
      </c>
      <c r="J55" s="21" t="s">
        <v>33</v>
      </c>
      <c r="K55" s="5" t="s">
        <v>207</v>
      </c>
    </row>
    <row r="56" customFormat="false" ht="15" hidden="false" customHeight="false" outlineLevel="0" collapsed="false">
      <c r="A56" s="25" t="s">
        <v>273</v>
      </c>
      <c r="B56" s="25" t="s">
        <v>269</v>
      </c>
      <c r="C56" s="23" t="s">
        <v>255</v>
      </c>
      <c r="D56" s="45" t="s">
        <v>254</v>
      </c>
      <c r="E56" s="23" t="s">
        <v>206</v>
      </c>
      <c r="F56" s="24" t="n">
        <v>195</v>
      </c>
      <c r="G56" s="24" t="n">
        <v>69.9</v>
      </c>
      <c r="H56" s="24" t="n">
        <v>0</v>
      </c>
      <c r="I56" s="27" t="n">
        <v>-149393.67</v>
      </c>
      <c r="J56" s="25" t="s">
        <v>33</v>
      </c>
      <c r="K56" s="23" t="s">
        <v>207</v>
      </c>
    </row>
    <row r="57" customFormat="false" ht="15" hidden="false" customHeight="false" outlineLevel="0" collapsed="false">
      <c r="A57" s="21" t="s">
        <v>274</v>
      </c>
      <c r="B57" s="21" t="s">
        <v>275</v>
      </c>
      <c r="C57" s="5" t="s">
        <v>252</v>
      </c>
      <c r="D57" s="44" t="s">
        <v>205</v>
      </c>
      <c r="E57" s="5" t="s">
        <v>215</v>
      </c>
      <c r="F57" s="20" t="n">
        <v>25.8698</v>
      </c>
      <c r="G57" s="20" t="n">
        <v>3865.5</v>
      </c>
      <c r="H57" s="20" t="n">
        <v>0</v>
      </c>
      <c r="I57" s="6" t="n">
        <v>-99999.71</v>
      </c>
      <c r="J57" s="21" t="s">
        <v>33</v>
      </c>
      <c r="K57" s="5" t="s">
        <v>207</v>
      </c>
    </row>
    <row r="58" customFormat="false" ht="15" hidden="false" customHeight="false" outlineLevel="0" collapsed="false">
      <c r="A58" s="25" t="s">
        <v>276</v>
      </c>
      <c r="B58" s="25" t="s">
        <v>277</v>
      </c>
      <c r="C58" s="23" t="s">
        <v>251</v>
      </c>
      <c r="D58" s="44" t="s">
        <v>205</v>
      </c>
      <c r="E58" s="23" t="s">
        <v>206</v>
      </c>
      <c r="F58" s="24" t="n">
        <v>569</v>
      </c>
      <c r="G58" s="24" t="n">
        <v>32.988</v>
      </c>
      <c r="H58" s="24" t="n">
        <v>0</v>
      </c>
      <c r="I58" s="27" t="n">
        <v>-199918.08</v>
      </c>
      <c r="J58" s="25" t="s">
        <v>33</v>
      </c>
      <c r="K58" s="23" t="s">
        <v>207</v>
      </c>
    </row>
    <row r="59" customFormat="false" ht="15" hidden="false" customHeight="false" outlineLevel="0" collapsed="false">
      <c r="A59" s="21" t="s">
        <v>276</v>
      </c>
      <c r="B59" s="21" t="s">
        <v>277</v>
      </c>
      <c r="C59" s="5" t="s">
        <v>233</v>
      </c>
      <c r="D59" s="44" t="s">
        <v>205</v>
      </c>
      <c r="E59" s="5" t="s">
        <v>206</v>
      </c>
      <c r="F59" s="20" t="n">
        <v>137</v>
      </c>
      <c r="G59" s="20" t="n">
        <v>136.34</v>
      </c>
      <c r="H59" s="20" t="n">
        <v>0</v>
      </c>
      <c r="I59" s="6" t="n">
        <v>-198951.93</v>
      </c>
      <c r="J59" s="21" t="s">
        <v>33</v>
      </c>
      <c r="K59" s="5" t="s">
        <v>207</v>
      </c>
    </row>
    <row r="60" customFormat="false" ht="15" hidden="false" customHeight="false" outlineLevel="0" collapsed="false">
      <c r="A60" s="25" t="s">
        <v>278</v>
      </c>
      <c r="B60" s="25" t="s">
        <v>279</v>
      </c>
      <c r="C60" s="23" t="s">
        <v>272</v>
      </c>
      <c r="D60" s="45" t="s">
        <v>254</v>
      </c>
      <c r="E60" s="23" t="s">
        <v>206</v>
      </c>
      <c r="F60" s="24" t="n">
        <v>-3700</v>
      </c>
      <c r="G60" s="24" t="n">
        <v>87.64</v>
      </c>
      <c r="H60" s="24" t="n">
        <v>0</v>
      </c>
      <c r="I60" s="27" t="n">
        <v>323943.73</v>
      </c>
      <c r="J60" s="25" t="s">
        <v>33</v>
      </c>
      <c r="K60" s="23" t="s">
        <v>207</v>
      </c>
    </row>
    <row r="61" customFormat="false" ht="15" hidden="false" customHeight="false" outlineLevel="0" collapsed="false">
      <c r="A61" s="21" t="s">
        <v>278</v>
      </c>
      <c r="B61" s="21" t="s">
        <v>279</v>
      </c>
      <c r="C61" s="5" t="s">
        <v>280</v>
      </c>
      <c r="D61" s="45" t="s">
        <v>254</v>
      </c>
      <c r="E61" s="5" t="s">
        <v>206</v>
      </c>
      <c r="F61" s="20" t="n">
        <v>-6200</v>
      </c>
      <c r="G61" s="20" t="n">
        <v>44.1204</v>
      </c>
      <c r="H61" s="20" t="n">
        <v>0</v>
      </c>
      <c r="I61" s="6" t="n">
        <v>273272.93</v>
      </c>
      <c r="J61" s="21" t="s">
        <v>33</v>
      </c>
      <c r="K61" s="5" t="s">
        <v>207</v>
      </c>
    </row>
    <row r="62" customFormat="false" ht="15" hidden="false" customHeight="false" outlineLevel="0" collapsed="false">
      <c r="A62" s="25" t="s">
        <v>281</v>
      </c>
      <c r="B62" s="25" t="s">
        <v>278</v>
      </c>
      <c r="C62" s="23" t="s">
        <v>95</v>
      </c>
      <c r="D62" s="44" t="s">
        <v>205</v>
      </c>
      <c r="E62" s="23" t="s">
        <v>206</v>
      </c>
      <c r="F62" s="24" t="n">
        <v>265</v>
      </c>
      <c r="G62" s="24" t="n">
        <v>817.78660377</v>
      </c>
      <c r="H62" s="24" t="n">
        <v>0</v>
      </c>
      <c r="I62" s="27" t="n">
        <v>-330970.35</v>
      </c>
      <c r="J62" s="25" t="s">
        <v>33</v>
      </c>
      <c r="K62" s="23" t="s">
        <v>207</v>
      </c>
    </row>
    <row r="63" customFormat="false" ht="15" hidden="false" customHeight="false" outlineLevel="0" collapsed="false">
      <c r="A63" s="21" t="s">
        <v>281</v>
      </c>
      <c r="B63" s="21" t="s">
        <v>278</v>
      </c>
      <c r="C63" s="5" t="s">
        <v>282</v>
      </c>
      <c r="D63" s="45" t="s">
        <v>254</v>
      </c>
      <c r="E63" s="5" t="s">
        <v>206</v>
      </c>
      <c r="F63" s="20" t="n">
        <v>-7600</v>
      </c>
      <c r="G63" s="20" t="n">
        <v>23.4286</v>
      </c>
      <c r="H63" s="20" t="n">
        <v>0</v>
      </c>
      <c r="I63" s="6" t="n">
        <v>177879.3</v>
      </c>
      <c r="J63" s="21" t="s">
        <v>33</v>
      </c>
      <c r="K63" s="5" t="s">
        <v>207</v>
      </c>
    </row>
    <row r="64" customFormat="false" ht="15" hidden="false" customHeight="false" outlineLevel="0" collapsed="false">
      <c r="A64" s="25" t="s">
        <v>283</v>
      </c>
      <c r="B64" s="25" t="s">
        <v>283</v>
      </c>
      <c r="C64" s="23" t="s">
        <v>81</v>
      </c>
      <c r="D64" s="44" t="s">
        <v>205</v>
      </c>
      <c r="E64" s="23" t="s">
        <v>209</v>
      </c>
      <c r="F64" s="24" t="n">
        <v>1500</v>
      </c>
      <c r="G64" s="24"/>
      <c r="H64" s="24" t="n">
        <v>0</v>
      </c>
      <c r="I64" s="27" t="n">
        <v>6606.6</v>
      </c>
      <c r="J64" s="25" t="s">
        <v>33</v>
      </c>
      <c r="K64" s="23" t="s">
        <v>207</v>
      </c>
    </row>
    <row r="65" customFormat="false" ht="15" hidden="false" customHeight="false" outlineLevel="0" collapsed="false">
      <c r="A65" s="21" t="s">
        <v>284</v>
      </c>
      <c r="B65" s="21" t="s">
        <v>284</v>
      </c>
      <c r="C65" s="5" t="s">
        <v>272</v>
      </c>
      <c r="D65" s="45" t="s">
        <v>254</v>
      </c>
      <c r="E65" s="5" t="s">
        <v>209</v>
      </c>
      <c r="F65" s="20" t="n">
        <v>7400</v>
      </c>
      <c r="G65" s="20"/>
      <c r="H65" s="20" t="n">
        <v>0</v>
      </c>
      <c r="I65" s="6" t="n">
        <v>9990</v>
      </c>
      <c r="J65" s="21" t="s">
        <v>33</v>
      </c>
      <c r="K65" s="5" t="s">
        <v>207</v>
      </c>
    </row>
    <row r="66" customFormat="false" ht="15" hidden="false" customHeight="false" outlineLevel="0" collapsed="false">
      <c r="A66" s="25" t="s">
        <v>285</v>
      </c>
      <c r="B66" s="25" t="s">
        <v>285</v>
      </c>
      <c r="C66" s="23" t="s">
        <v>280</v>
      </c>
      <c r="D66" s="45" t="s">
        <v>254</v>
      </c>
      <c r="E66" s="23" t="s">
        <v>209</v>
      </c>
      <c r="F66" s="24" t="n">
        <v>6200</v>
      </c>
      <c r="G66" s="24"/>
      <c r="H66" s="24" t="n">
        <v>0</v>
      </c>
      <c r="I66" s="27" t="n">
        <v>1402.56</v>
      </c>
      <c r="J66" s="25" t="s">
        <v>33</v>
      </c>
      <c r="K66" s="23" t="s">
        <v>207</v>
      </c>
    </row>
    <row r="67" customFormat="false" ht="15" hidden="false" customHeight="false" outlineLevel="0" collapsed="false">
      <c r="A67" s="21" t="s">
        <v>286</v>
      </c>
      <c r="B67" s="21" t="s">
        <v>286</v>
      </c>
      <c r="C67" s="5" t="s">
        <v>70</v>
      </c>
      <c r="D67" s="44" t="s">
        <v>205</v>
      </c>
      <c r="E67" s="5" t="s">
        <v>209</v>
      </c>
      <c r="F67" s="20" t="n">
        <v>2250</v>
      </c>
      <c r="G67" s="20"/>
      <c r="H67" s="20" t="n">
        <v>0</v>
      </c>
      <c r="I67" s="6" t="n">
        <v>8100</v>
      </c>
      <c r="J67" s="21" t="s">
        <v>33</v>
      </c>
      <c r="K67" s="5" t="s">
        <v>207</v>
      </c>
    </row>
    <row r="68" customFormat="false" ht="15" hidden="false" customHeight="false" outlineLevel="0" collapsed="false">
      <c r="A68" s="25" t="s">
        <v>287</v>
      </c>
      <c r="B68" s="25" t="s">
        <v>287</v>
      </c>
      <c r="C68" s="23" t="s">
        <v>288</v>
      </c>
      <c r="D68" s="45" t="s">
        <v>254</v>
      </c>
      <c r="E68" s="23" t="s">
        <v>209</v>
      </c>
      <c r="F68" s="24" t="n">
        <v>50</v>
      </c>
      <c r="G68" s="24"/>
      <c r="H68" s="24" t="n">
        <v>0</v>
      </c>
      <c r="I68" s="27" t="n">
        <v>750</v>
      </c>
      <c r="J68" s="25" t="s">
        <v>33</v>
      </c>
      <c r="K68" s="23" t="s">
        <v>207</v>
      </c>
    </row>
    <row r="69" customFormat="false" ht="15" hidden="false" customHeight="false" outlineLevel="0" collapsed="false">
      <c r="A69" s="21" t="s">
        <v>289</v>
      </c>
      <c r="B69" s="21" t="s">
        <v>287</v>
      </c>
      <c r="C69" s="5" t="s">
        <v>214</v>
      </c>
      <c r="D69" s="44" t="s">
        <v>205</v>
      </c>
      <c r="E69" s="5" t="s">
        <v>215</v>
      </c>
      <c r="F69" s="20" t="n">
        <v>1171.2893</v>
      </c>
      <c r="G69" s="20" t="n">
        <v>213.44</v>
      </c>
      <c r="H69" s="20" t="n">
        <v>0</v>
      </c>
      <c r="I69" s="6" t="n">
        <v>-249999.99</v>
      </c>
      <c r="J69" s="21" t="s">
        <v>33</v>
      </c>
      <c r="K69" s="5" t="s">
        <v>207</v>
      </c>
    </row>
    <row r="70" customFormat="false" ht="15" hidden="false" customHeight="false" outlineLevel="0" collapsed="false">
      <c r="A70" s="25" t="s">
        <v>290</v>
      </c>
      <c r="B70" s="25" t="s">
        <v>289</v>
      </c>
      <c r="C70" s="23" t="s">
        <v>231</v>
      </c>
      <c r="D70" s="44" t="s">
        <v>205</v>
      </c>
      <c r="E70" s="23" t="s">
        <v>206</v>
      </c>
      <c r="F70" s="24" t="n">
        <v>100</v>
      </c>
      <c r="G70" s="24" t="n">
        <v>45.06</v>
      </c>
      <c r="H70" s="24" t="n">
        <v>0</v>
      </c>
      <c r="I70" s="27" t="n">
        <v>-49628.16</v>
      </c>
      <c r="J70" s="25" t="s">
        <v>33</v>
      </c>
      <c r="K70" s="23" t="s">
        <v>207</v>
      </c>
    </row>
    <row r="71" customFormat="false" ht="15" hidden="false" customHeight="false" outlineLevel="0" collapsed="false">
      <c r="A71" s="21" t="s">
        <v>290</v>
      </c>
      <c r="B71" s="21" t="s">
        <v>291</v>
      </c>
      <c r="C71" s="5" t="s">
        <v>272</v>
      </c>
      <c r="D71" s="45" t="s">
        <v>254</v>
      </c>
      <c r="E71" s="5" t="s">
        <v>206</v>
      </c>
      <c r="F71" s="20" t="n">
        <v>2600</v>
      </c>
      <c r="G71" s="20" t="n">
        <v>58.19999615</v>
      </c>
      <c r="H71" s="20" t="n">
        <v>0</v>
      </c>
      <c r="I71" s="6" t="n">
        <v>-151471.31</v>
      </c>
      <c r="J71" s="21" t="s">
        <v>33</v>
      </c>
      <c r="K71" s="5" t="s">
        <v>207</v>
      </c>
    </row>
    <row r="72" customFormat="false" ht="15" hidden="false" customHeight="false" outlineLevel="0" collapsed="false">
      <c r="A72" s="25" t="s">
        <v>290</v>
      </c>
      <c r="B72" s="25" t="s">
        <v>291</v>
      </c>
      <c r="C72" s="23" t="s">
        <v>288</v>
      </c>
      <c r="D72" s="45" t="s">
        <v>254</v>
      </c>
      <c r="E72" s="23" t="s">
        <v>206</v>
      </c>
      <c r="F72" s="24" t="n">
        <v>-50</v>
      </c>
      <c r="G72" s="24" t="n">
        <v>692.84</v>
      </c>
      <c r="H72" s="24" t="n">
        <v>0</v>
      </c>
      <c r="I72" s="27" t="n">
        <v>34542</v>
      </c>
      <c r="J72" s="25" t="s">
        <v>33</v>
      </c>
      <c r="K72" s="23" t="s">
        <v>207</v>
      </c>
    </row>
    <row r="73" customFormat="false" ht="15" hidden="false" customHeight="false" outlineLevel="0" collapsed="false">
      <c r="A73" s="21" t="s">
        <v>290</v>
      </c>
      <c r="B73" s="21" t="s">
        <v>291</v>
      </c>
      <c r="C73" s="5" t="s">
        <v>292</v>
      </c>
      <c r="D73" s="45" t="s">
        <v>254</v>
      </c>
      <c r="E73" s="5" t="s">
        <v>206</v>
      </c>
      <c r="F73" s="20" t="n">
        <v>-1600</v>
      </c>
      <c r="G73" s="20" t="n">
        <v>96.62</v>
      </c>
      <c r="H73" s="20" t="n">
        <v>0</v>
      </c>
      <c r="I73" s="6" t="n">
        <v>154437.41</v>
      </c>
      <c r="J73" s="21" t="s">
        <v>33</v>
      </c>
      <c r="K73" s="5" t="s">
        <v>207</v>
      </c>
    </row>
    <row r="74" customFormat="false" ht="15" hidden="false" customHeight="false" outlineLevel="0" collapsed="false">
      <c r="A74" s="25" t="s">
        <v>290</v>
      </c>
      <c r="B74" s="25" t="s">
        <v>291</v>
      </c>
      <c r="C74" s="23" t="s">
        <v>107</v>
      </c>
      <c r="D74" s="44" t="s">
        <v>205</v>
      </c>
      <c r="E74" s="23" t="s">
        <v>206</v>
      </c>
      <c r="F74" s="24" t="n">
        <v>-1500</v>
      </c>
      <c r="G74" s="24" t="n">
        <v>57.3</v>
      </c>
      <c r="H74" s="24" t="n">
        <v>0</v>
      </c>
      <c r="I74" s="27" t="n">
        <v>85850</v>
      </c>
      <c r="J74" s="25" t="s">
        <v>33</v>
      </c>
      <c r="K74" s="23" t="s">
        <v>207</v>
      </c>
    </row>
    <row r="75" customFormat="false" ht="15" hidden="false" customHeight="false" outlineLevel="0" collapsed="false">
      <c r="A75" s="21" t="s">
        <v>290</v>
      </c>
      <c r="B75" s="21" t="s">
        <v>289</v>
      </c>
      <c r="C75" s="5" t="s">
        <v>253</v>
      </c>
      <c r="D75" s="45" t="s">
        <v>254</v>
      </c>
      <c r="E75" s="5" t="s">
        <v>206</v>
      </c>
      <c r="F75" s="20" t="n">
        <v>400</v>
      </c>
      <c r="G75" s="20" t="n">
        <v>11.157075</v>
      </c>
      <c r="H75" s="20" t="n">
        <v>0</v>
      </c>
      <c r="I75" s="6" t="n">
        <v>-49139.19</v>
      </c>
      <c r="J75" s="21" t="s">
        <v>33</v>
      </c>
      <c r="K75" s="5" t="s">
        <v>207</v>
      </c>
    </row>
    <row r="76" customFormat="false" ht="15" hidden="false" customHeight="false" outlineLevel="0" collapsed="false">
      <c r="A76" s="25" t="s">
        <v>290</v>
      </c>
      <c r="B76" s="25" t="s">
        <v>291</v>
      </c>
      <c r="C76" s="23" t="s">
        <v>293</v>
      </c>
      <c r="D76" s="45" t="s">
        <v>254</v>
      </c>
      <c r="E76" s="23" t="s">
        <v>206</v>
      </c>
      <c r="F76" s="24" t="n">
        <v>-430</v>
      </c>
      <c r="G76" s="24" t="n">
        <v>17.915</v>
      </c>
      <c r="H76" s="24" t="n">
        <v>0</v>
      </c>
      <c r="I76" s="27" t="n">
        <v>7703.45</v>
      </c>
      <c r="J76" s="25" t="s">
        <v>33</v>
      </c>
      <c r="K76" s="23" t="s">
        <v>207</v>
      </c>
    </row>
    <row r="77" customFormat="false" ht="15" hidden="false" customHeight="false" outlineLevel="0" collapsed="false">
      <c r="A77" s="21" t="s">
        <v>290</v>
      </c>
      <c r="B77" s="21" t="s">
        <v>291</v>
      </c>
      <c r="C77" s="5" t="s">
        <v>294</v>
      </c>
      <c r="D77" s="45" t="s">
        <v>254</v>
      </c>
      <c r="E77" s="5" t="s">
        <v>206</v>
      </c>
      <c r="F77" s="20" t="n">
        <v>-4300</v>
      </c>
      <c r="G77" s="20" t="n">
        <v>4.651</v>
      </c>
      <c r="H77" s="20" t="n">
        <v>0</v>
      </c>
      <c r="I77" s="6" t="n">
        <v>19899.3</v>
      </c>
      <c r="J77" s="21" t="s">
        <v>33</v>
      </c>
      <c r="K77" s="5" t="s">
        <v>207</v>
      </c>
    </row>
    <row r="78" customFormat="false" ht="15" hidden="false" customHeight="false" outlineLevel="0" collapsed="false">
      <c r="A78" s="25" t="s">
        <v>290</v>
      </c>
      <c r="B78" s="25" t="s">
        <v>291</v>
      </c>
      <c r="C78" s="23" t="s">
        <v>295</v>
      </c>
      <c r="D78" s="45" t="s">
        <v>254</v>
      </c>
      <c r="E78" s="23" t="s">
        <v>206</v>
      </c>
      <c r="F78" s="24" t="n">
        <v>-1350</v>
      </c>
      <c r="G78" s="24" t="n">
        <v>213.2</v>
      </c>
      <c r="H78" s="24" t="n">
        <v>0</v>
      </c>
      <c r="I78" s="27" t="n">
        <v>287532.18</v>
      </c>
      <c r="J78" s="25" t="s">
        <v>33</v>
      </c>
      <c r="K78" s="23" t="s">
        <v>207</v>
      </c>
    </row>
    <row r="79" customFormat="false" ht="15" hidden="false" customHeight="false" outlineLevel="0" collapsed="false">
      <c r="A79" s="21" t="s">
        <v>296</v>
      </c>
      <c r="B79" s="21" t="s">
        <v>296</v>
      </c>
      <c r="C79" s="5" t="s">
        <v>280</v>
      </c>
      <c r="D79" s="45" t="s">
        <v>254</v>
      </c>
      <c r="E79" s="5" t="s">
        <v>209</v>
      </c>
      <c r="F79" s="20" t="n">
        <v>6200</v>
      </c>
      <c r="G79" s="20"/>
      <c r="H79" s="20" t="n">
        <v>0</v>
      </c>
      <c r="I79" s="6" t="n">
        <v>1880.31</v>
      </c>
      <c r="J79" s="21" t="s">
        <v>33</v>
      </c>
      <c r="K79" s="5" t="s">
        <v>207</v>
      </c>
    </row>
    <row r="80" customFormat="false" ht="15" hidden="false" customHeight="false" outlineLevel="0" collapsed="false">
      <c r="A80" s="25" t="s">
        <v>297</v>
      </c>
      <c r="B80" s="25" t="s">
        <v>297</v>
      </c>
      <c r="C80" s="23" t="s">
        <v>78</v>
      </c>
      <c r="D80" s="44" t="s">
        <v>205</v>
      </c>
      <c r="E80" s="23" t="s">
        <v>209</v>
      </c>
      <c r="F80" s="24" t="n">
        <v>1385</v>
      </c>
      <c r="G80" s="24"/>
      <c r="H80" s="24" t="n">
        <v>0</v>
      </c>
      <c r="I80" s="27" t="n">
        <v>10733.75</v>
      </c>
      <c r="J80" s="25" t="s">
        <v>33</v>
      </c>
      <c r="K80" s="23" t="s">
        <v>207</v>
      </c>
    </row>
    <row r="81" customFormat="false" ht="15" hidden="false" customHeight="false" outlineLevel="0" collapsed="false">
      <c r="A81" s="21" t="s">
        <v>298</v>
      </c>
      <c r="B81" s="21" t="s">
        <v>298</v>
      </c>
      <c r="C81" s="5" t="s">
        <v>272</v>
      </c>
      <c r="D81" s="45" t="s">
        <v>254</v>
      </c>
      <c r="E81" s="5" t="s">
        <v>209</v>
      </c>
      <c r="F81" s="20" t="n">
        <v>4800</v>
      </c>
      <c r="G81" s="20"/>
      <c r="H81" s="20" t="n">
        <v>0</v>
      </c>
      <c r="I81" s="6" t="n">
        <v>6480</v>
      </c>
      <c r="J81" s="21" t="s">
        <v>33</v>
      </c>
      <c r="K81" s="5" t="s">
        <v>207</v>
      </c>
    </row>
    <row r="82" customFormat="false" ht="15" hidden="false" customHeight="false" outlineLevel="0" collapsed="false">
      <c r="A82" s="25" t="s">
        <v>299</v>
      </c>
      <c r="B82" s="25" t="s">
        <v>299</v>
      </c>
      <c r="C82" s="23" t="s">
        <v>81</v>
      </c>
      <c r="D82" s="44" t="s">
        <v>205</v>
      </c>
      <c r="E82" s="23" t="s">
        <v>209</v>
      </c>
      <c r="F82" s="24" t="n">
        <v>1500</v>
      </c>
      <c r="G82" s="24"/>
      <c r="H82" s="24" t="n">
        <v>0</v>
      </c>
      <c r="I82" s="27" t="n">
        <v>6671.45</v>
      </c>
      <c r="J82" s="25" t="s">
        <v>33</v>
      </c>
      <c r="K82" s="23" t="s">
        <v>207</v>
      </c>
    </row>
    <row r="83" customFormat="false" ht="15" hidden="false" customHeight="false" outlineLevel="0" collapsed="false">
      <c r="A83" s="21" t="s">
        <v>300</v>
      </c>
      <c r="B83" s="21" t="s">
        <v>300</v>
      </c>
      <c r="C83" s="5" t="s">
        <v>295</v>
      </c>
      <c r="D83" s="45" t="s">
        <v>254</v>
      </c>
      <c r="E83" s="5" t="s">
        <v>209</v>
      </c>
      <c r="F83" s="20" t="n">
        <v>1350</v>
      </c>
      <c r="G83" s="20"/>
      <c r="H83" s="20" t="n">
        <v>0</v>
      </c>
      <c r="I83" s="6" t="n">
        <v>20452.5</v>
      </c>
      <c r="J83" s="21" t="s">
        <v>33</v>
      </c>
      <c r="K83" s="5" t="s">
        <v>207</v>
      </c>
    </row>
    <row r="84" customFormat="false" ht="15" hidden="false" customHeight="false" outlineLevel="0" collapsed="false">
      <c r="A84" s="25" t="s">
        <v>301</v>
      </c>
      <c r="B84" s="25" t="s">
        <v>301</v>
      </c>
      <c r="C84" s="23" t="s">
        <v>292</v>
      </c>
      <c r="D84" s="45" t="s">
        <v>254</v>
      </c>
      <c r="E84" s="23" t="s">
        <v>209</v>
      </c>
      <c r="F84" s="24" t="n">
        <v>1600</v>
      </c>
      <c r="G84" s="24"/>
      <c r="H84" s="24" t="n">
        <v>0</v>
      </c>
      <c r="I84" s="27" t="n">
        <v>20800</v>
      </c>
      <c r="J84" s="25" t="s">
        <v>33</v>
      </c>
      <c r="K84" s="23" t="s">
        <v>207</v>
      </c>
    </row>
    <row r="85" customFormat="false" ht="15" hidden="false" customHeight="false" outlineLevel="0" collapsed="false">
      <c r="A85" s="21" t="s">
        <v>302</v>
      </c>
      <c r="B85" s="21" t="s">
        <v>302</v>
      </c>
      <c r="C85" s="5" t="s">
        <v>252</v>
      </c>
      <c r="D85" s="44" t="s">
        <v>205</v>
      </c>
      <c r="E85" s="5" t="s">
        <v>215</v>
      </c>
      <c r="F85" s="20" t="n">
        <v>61.4726</v>
      </c>
      <c r="G85" s="20" t="n">
        <v>3253.48</v>
      </c>
      <c r="H85" s="20" t="n">
        <v>0</v>
      </c>
      <c r="I85" s="6" t="n">
        <v>-199999.87</v>
      </c>
      <c r="J85" s="21" t="s">
        <v>33</v>
      </c>
      <c r="K85" s="5" t="s">
        <v>207</v>
      </c>
    </row>
    <row r="86" customFormat="false" ht="15" hidden="false" customHeight="false" outlineLevel="0" collapsed="false">
      <c r="A86" s="25" t="s">
        <v>303</v>
      </c>
      <c r="B86" s="25" t="s">
        <v>303</v>
      </c>
      <c r="C86" s="23" t="s">
        <v>280</v>
      </c>
      <c r="D86" s="45" t="s">
        <v>254</v>
      </c>
      <c r="E86" s="23" t="s">
        <v>209</v>
      </c>
      <c r="F86" s="24" t="n">
        <v>6200</v>
      </c>
      <c r="G86" s="24"/>
      <c r="H86" s="24" t="n">
        <v>0</v>
      </c>
      <c r="I86" s="27" t="n">
        <v>1360.92</v>
      </c>
      <c r="J86" s="25" t="s">
        <v>33</v>
      </c>
      <c r="K86" s="23" t="s">
        <v>207</v>
      </c>
    </row>
    <row r="87" customFormat="false" ht="15" hidden="false" customHeight="false" outlineLevel="0" collapsed="false">
      <c r="A87" s="21" t="s">
        <v>304</v>
      </c>
      <c r="B87" s="21" t="s">
        <v>304</v>
      </c>
      <c r="C87" s="5" t="s">
        <v>96</v>
      </c>
      <c r="D87" s="44" t="s">
        <v>205</v>
      </c>
      <c r="E87" s="5" t="s">
        <v>215</v>
      </c>
      <c r="F87" s="20" t="n">
        <v>1284.439021</v>
      </c>
      <c r="G87" s="20" t="n">
        <v>155.71</v>
      </c>
      <c r="H87" s="20" t="n">
        <v>0</v>
      </c>
      <c r="I87" s="6" t="n">
        <v>-200000</v>
      </c>
      <c r="J87" s="21" t="s">
        <v>33</v>
      </c>
      <c r="K87" s="5" t="s">
        <v>207</v>
      </c>
    </row>
    <row r="88" customFormat="false" ht="15" hidden="false" customHeight="false" outlineLevel="0" collapsed="false">
      <c r="A88" s="25" t="s">
        <v>305</v>
      </c>
      <c r="B88" s="25" t="s">
        <v>306</v>
      </c>
      <c r="C88" s="23" t="s">
        <v>251</v>
      </c>
      <c r="D88" s="44" t="s">
        <v>205</v>
      </c>
      <c r="E88" s="23" t="s">
        <v>206</v>
      </c>
      <c r="F88" s="24" t="n">
        <v>350</v>
      </c>
      <c r="G88" s="24" t="n">
        <v>26.03</v>
      </c>
      <c r="H88" s="24" t="n">
        <v>0</v>
      </c>
      <c r="I88" s="27" t="n">
        <v>-96145.85</v>
      </c>
      <c r="J88" s="25" t="s">
        <v>33</v>
      </c>
      <c r="K88" s="23" t="s">
        <v>207</v>
      </c>
    </row>
    <row r="89" customFormat="false" ht="15" hidden="false" customHeight="false" outlineLevel="0" collapsed="false">
      <c r="A89" s="21" t="s">
        <v>305</v>
      </c>
      <c r="B89" s="21" t="s">
        <v>306</v>
      </c>
      <c r="C89" s="5" t="s">
        <v>253</v>
      </c>
      <c r="D89" s="45" t="s">
        <v>254</v>
      </c>
      <c r="E89" s="5" t="s">
        <v>206</v>
      </c>
      <c r="F89" s="20" t="n">
        <v>900</v>
      </c>
      <c r="G89" s="20" t="n">
        <v>10.895</v>
      </c>
      <c r="H89" s="20" t="n">
        <v>0</v>
      </c>
      <c r="I89" s="6" t="n">
        <v>-103481.43</v>
      </c>
      <c r="J89" s="21" t="s">
        <v>33</v>
      </c>
      <c r="K89" s="5" t="s">
        <v>207</v>
      </c>
    </row>
    <row r="90" customFormat="false" ht="15" hidden="false" customHeight="false" outlineLevel="0" collapsed="false">
      <c r="A90" s="25" t="s">
        <v>305</v>
      </c>
      <c r="B90" s="25" t="s">
        <v>306</v>
      </c>
      <c r="C90" s="23" t="s">
        <v>233</v>
      </c>
      <c r="D90" s="44" t="s">
        <v>205</v>
      </c>
      <c r="E90" s="23" t="s">
        <v>206</v>
      </c>
      <c r="F90" s="24" t="n">
        <v>85</v>
      </c>
      <c r="G90" s="24" t="n">
        <v>115.72</v>
      </c>
      <c r="H90" s="24" t="n">
        <v>0</v>
      </c>
      <c r="I90" s="27" t="n">
        <v>-103803.41</v>
      </c>
      <c r="J90" s="25" t="s">
        <v>33</v>
      </c>
      <c r="K90" s="23" t="s">
        <v>207</v>
      </c>
    </row>
    <row r="91" customFormat="false" ht="15" hidden="false" customHeight="false" outlineLevel="0" collapsed="false">
      <c r="A91" s="21" t="s">
        <v>307</v>
      </c>
      <c r="B91" s="21" t="s">
        <v>307</v>
      </c>
      <c r="C91" s="5" t="s">
        <v>252</v>
      </c>
      <c r="D91" s="44" t="s">
        <v>205</v>
      </c>
      <c r="E91" s="5" t="s">
        <v>215</v>
      </c>
      <c r="F91" s="20" t="n">
        <v>84.6573</v>
      </c>
      <c r="G91" s="20" t="n">
        <v>2953.08</v>
      </c>
      <c r="H91" s="20" t="n">
        <v>0</v>
      </c>
      <c r="I91" s="6" t="n">
        <v>-249999.78</v>
      </c>
      <c r="J91" s="21" t="s">
        <v>33</v>
      </c>
      <c r="K91" s="5" t="s">
        <v>207</v>
      </c>
    </row>
    <row r="92" customFormat="false" ht="15" hidden="false" customHeight="false" outlineLevel="0" collapsed="false">
      <c r="A92" s="25" t="s">
        <v>308</v>
      </c>
      <c r="B92" s="25" t="s">
        <v>307</v>
      </c>
      <c r="C92" s="23" t="s">
        <v>251</v>
      </c>
      <c r="D92" s="44" t="s">
        <v>205</v>
      </c>
      <c r="E92" s="23" t="s">
        <v>206</v>
      </c>
      <c r="F92" s="24" t="n">
        <v>398</v>
      </c>
      <c r="G92" s="24" t="n">
        <v>23.725</v>
      </c>
      <c r="H92" s="24" t="n">
        <v>0</v>
      </c>
      <c r="I92" s="27" t="n">
        <v>-99874.03</v>
      </c>
      <c r="J92" s="25" t="s">
        <v>33</v>
      </c>
      <c r="K92" s="23" t="s">
        <v>207</v>
      </c>
    </row>
    <row r="93" customFormat="false" ht="15" hidden="false" customHeight="false" outlineLevel="0" collapsed="false">
      <c r="A93" s="21" t="s">
        <v>308</v>
      </c>
      <c r="B93" s="21" t="s">
        <v>309</v>
      </c>
      <c r="C93" s="5" t="s">
        <v>70</v>
      </c>
      <c r="D93" s="44" t="s">
        <v>205</v>
      </c>
      <c r="E93" s="5" t="s">
        <v>206</v>
      </c>
      <c r="F93" s="20" t="n">
        <v>450</v>
      </c>
      <c r="G93" s="20" t="n">
        <v>212.825</v>
      </c>
      <c r="H93" s="20" t="n">
        <v>0</v>
      </c>
      <c r="I93" s="6" t="n">
        <v>-95871.25</v>
      </c>
      <c r="J93" s="21" t="s">
        <v>33</v>
      </c>
      <c r="K93" s="5" t="s">
        <v>207</v>
      </c>
    </row>
    <row r="94" customFormat="false" ht="15" hidden="false" customHeight="false" outlineLevel="0" collapsed="false">
      <c r="A94" s="25" t="s">
        <v>308</v>
      </c>
      <c r="B94" s="25" t="s">
        <v>307</v>
      </c>
      <c r="C94" s="23" t="s">
        <v>253</v>
      </c>
      <c r="D94" s="45" t="s">
        <v>254</v>
      </c>
      <c r="E94" s="23" t="s">
        <v>206</v>
      </c>
      <c r="F94" s="24" t="n">
        <v>936</v>
      </c>
      <c r="G94" s="24" t="n">
        <v>10.0993109</v>
      </c>
      <c r="H94" s="24" t="n">
        <v>0</v>
      </c>
      <c r="I94" s="27" t="n">
        <v>-99984.12</v>
      </c>
      <c r="J94" s="25" t="s">
        <v>33</v>
      </c>
      <c r="K94" s="23" t="s">
        <v>207</v>
      </c>
    </row>
    <row r="95" customFormat="false" ht="15" hidden="false" customHeight="false" outlineLevel="0" collapsed="false">
      <c r="A95" s="21" t="s">
        <v>308</v>
      </c>
      <c r="B95" s="21" t="s">
        <v>308</v>
      </c>
      <c r="C95" s="5" t="s">
        <v>96</v>
      </c>
      <c r="D95" s="44" t="s">
        <v>205</v>
      </c>
      <c r="E95" s="5" t="s">
        <v>215</v>
      </c>
      <c r="F95" s="20" t="n">
        <v>1025.43068</v>
      </c>
      <c r="G95" s="20" t="n">
        <v>146.28</v>
      </c>
      <c r="H95" s="20" t="n">
        <v>0</v>
      </c>
      <c r="I95" s="6" t="n">
        <v>-150000</v>
      </c>
      <c r="J95" s="21" t="s">
        <v>33</v>
      </c>
      <c r="K95" s="5" t="s">
        <v>207</v>
      </c>
    </row>
    <row r="96" customFormat="false" ht="15" hidden="false" customHeight="false" outlineLevel="0" collapsed="false">
      <c r="A96" s="25" t="s">
        <v>308</v>
      </c>
      <c r="B96" s="25" t="s">
        <v>309</v>
      </c>
      <c r="C96" s="23" t="s">
        <v>295</v>
      </c>
      <c r="D96" s="45" t="s">
        <v>254</v>
      </c>
      <c r="E96" s="23" t="s">
        <v>206</v>
      </c>
      <c r="F96" s="24" t="n">
        <v>550</v>
      </c>
      <c r="G96" s="24" t="n">
        <v>186.15</v>
      </c>
      <c r="H96" s="24" t="n">
        <v>0</v>
      </c>
      <c r="I96" s="27" t="n">
        <v>-102484.88</v>
      </c>
      <c r="J96" s="25" t="s">
        <v>33</v>
      </c>
      <c r="K96" s="23" t="s">
        <v>207</v>
      </c>
    </row>
    <row r="97" customFormat="false" ht="15" hidden="false" customHeight="false" outlineLevel="0" collapsed="false">
      <c r="A97" s="21" t="s">
        <v>308</v>
      </c>
      <c r="B97" s="21" t="s">
        <v>309</v>
      </c>
      <c r="C97" s="5" t="s">
        <v>233</v>
      </c>
      <c r="D97" s="44" t="s">
        <v>205</v>
      </c>
      <c r="E97" s="5" t="s">
        <v>206</v>
      </c>
      <c r="F97" s="20" t="n">
        <v>91</v>
      </c>
      <c r="G97" s="20" t="n">
        <v>103.9</v>
      </c>
      <c r="H97" s="20" t="n">
        <v>0</v>
      </c>
      <c r="I97" s="6" t="n">
        <v>-99975.18</v>
      </c>
      <c r="J97" s="21" t="s">
        <v>33</v>
      </c>
      <c r="K97" s="5" t="s">
        <v>207</v>
      </c>
    </row>
    <row r="98" customFormat="false" ht="15" hidden="false" customHeight="false" outlineLevel="0" collapsed="false">
      <c r="A98" s="25" t="s">
        <v>310</v>
      </c>
      <c r="B98" s="25" t="s">
        <v>310</v>
      </c>
      <c r="C98" s="23" t="s">
        <v>70</v>
      </c>
      <c r="D98" s="44" t="s">
        <v>205</v>
      </c>
      <c r="E98" s="23" t="s">
        <v>209</v>
      </c>
      <c r="F98" s="24" t="n">
        <v>1800</v>
      </c>
      <c r="G98" s="24"/>
      <c r="H98" s="24" t="n">
        <v>0</v>
      </c>
      <c r="I98" s="27" t="n">
        <v>1980</v>
      </c>
      <c r="J98" s="25" t="s">
        <v>33</v>
      </c>
      <c r="K98" s="23" t="s">
        <v>207</v>
      </c>
    </row>
    <row r="99" customFormat="false" ht="15" hidden="false" customHeight="false" outlineLevel="0" collapsed="false">
      <c r="A99" s="21" t="s">
        <v>311</v>
      </c>
      <c r="B99" s="21" t="s">
        <v>311</v>
      </c>
      <c r="C99" s="5" t="s">
        <v>96</v>
      </c>
      <c r="D99" s="44" t="s">
        <v>205</v>
      </c>
      <c r="E99" s="5" t="s">
        <v>215</v>
      </c>
      <c r="F99" s="20" t="n">
        <v>1468.752294</v>
      </c>
      <c r="G99" s="20" t="n">
        <v>136.17</v>
      </c>
      <c r="H99" s="20" t="n">
        <v>0</v>
      </c>
      <c r="I99" s="6" t="n">
        <v>-200000</v>
      </c>
      <c r="J99" s="21" t="s">
        <v>33</v>
      </c>
      <c r="K99" s="5" t="s">
        <v>207</v>
      </c>
    </row>
    <row r="100" customFormat="false" ht="15" hidden="false" customHeight="false" outlineLevel="0" collapsed="false">
      <c r="A100" s="25" t="s">
        <v>311</v>
      </c>
      <c r="B100" s="25" t="s">
        <v>312</v>
      </c>
      <c r="C100" s="23" t="s">
        <v>231</v>
      </c>
      <c r="D100" s="44" t="s">
        <v>205</v>
      </c>
      <c r="E100" s="23" t="s">
        <v>206</v>
      </c>
      <c r="F100" s="24" t="n">
        <v>470</v>
      </c>
      <c r="G100" s="24" t="n">
        <v>38.3025</v>
      </c>
      <c r="H100" s="24" t="n">
        <v>0</v>
      </c>
      <c r="I100" s="27" t="n">
        <v>-199451.92</v>
      </c>
      <c r="J100" s="25" t="s">
        <v>33</v>
      </c>
      <c r="K100" s="23" t="s">
        <v>207</v>
      </c>
    </row>
    <row r="101" customFormat="false" ht="15" hidden="false" customHeight="false" outlineLevel="0" collapsed="false">
      <c r="A101" s="21" t="s">
        <v>313</v>
      </c>
      <c r="B101" s="21" t="s">
        <v>313</v>
      </c>
      <c r="C101" s="5" t="s">
        <v>280</v>
      </c>
      <c r="D101" s="45" t="s">
        <v>254</v>
      </c>
      <c r="E101" s="5" t="s">
        <v>209</v>
      </c>
      <c r="F101" s="20" t="n">
        <v>6200</v>
      </c>
      <c r="G101" s="20"/>
      <c r="H101" s="20" t="n">
        <v>0</v>
      </c>
      <c r="I101" s="6" t="n">
        <v>1423.47</v>
      </c>
      <c r="J101" s="21" t="s">
        <v>33</v>
      </c>
      <c r="K101" s="5" t="s">
        <v>207</v>
      </c>
    </row>
    <row r="102" customFormat="false" ht="15" hidden="false" customHeight="false" outlineLevel="0" collapsed="false">
      <c r="A102" s="25" t="s">
        <v>314</v>
      </c>
      <c r="B102" s="25" t="s">
        <v>314</v>
      </c>
      <c r="C102" s="23" t="s">
        <v>96</v>
      </c>
      <c r="D102" s="44" t="s">
        <v>205</v>
      </c>
      <c r="E102" s="23" t="s">
        <v>215</v>
      </c>
      <c r="F102" s="24" t="n">
        <v>1957.406827</v>
      </c>
      <c r="G102" s="24" t="n">
        <v>127.72</v>
      </c>
      <c r="H102" s="24" t="n">
        <v>0</v>
      </c>
      <c r="I102" s="27" t="n">
        <v>-250000</v>
      </c>
      <c r="J102" s="25" t="s">
        <v>33</v>
      </c>
      <c r="K102" s="23" t="s">
        <v>207</v>
      </c>
    </row>
    <row r="103" customFormat="false" ht="15" hidden="false" customHeight="false" outlineLevel="0" collapsed="false">
      <c r="A103" s="21" t="s">
        <v>314</v>
      </c>
      <c r="B103" s="21" t="s">
        <v>314</v>
      </c>
      <c r="C103" s="5" t="s">
        <v>252</v>
      </c>
      <c r="D103" s="44" t="s">
        <v>205</v>
      </c>
      <c r="E103" s="5" t="s">
        <v>215</v>
      </c>
      <c r="F103" s="20" t="n">
        <v>169.8006</v>
      </c>
      <c r="G103" s="20" t="n">
        <v>2944.63</v>
      </c>
      <c r="H103" s="20" t="n">
        <v>0</v>
      </c>
      <c r="I103" s="6" t="n">
        <v>-499999.94</v>
      </c>
      <c r="J103" s="21" t="s">
        <v>33</v>
      </c>
      <c r="K103" s="5" t="s">
        <v>207</v>
      </c>
    </row>
    <row r="104" customFormat="false" ht="15" hidden="false" customHeight="false" outlineLevel="0" collapsed="false">
      <c r="A104" s="25" t="s">
        <v>315</v>
      </c>
      <c r="B104" s="25" t="s">
        <v>316</v>
      </c>
      <c r="C104" s="23" t="s">
        <v>253</v>
      </c>
      <c r="D104" s="45" t="s">
        <v>254</v>
      </c>
      <c r="E104" s="23" t="s">
        <v>206</v>
      </c>
      <c r="F104" s="24" t="n">
        <v>1351</v>
      </c>
      <c r="G104" s="24" t="n">
        <v>10.185</v>
      </c>
      <c r="H104" s="24" t="n">
        <v>0</v>
      </c>
      <c r="I104" s="27" t="n">
        <v>-151813.72</v>
      </c>
      <c r="J104" s="25" t="s">
        <v>33</v>
      </c>
      <c r="K104" s="23" t="s">
        <v>207</v>
      </c>
    </row>
    <row r="105" customFormat="false" ht="15" hidden="false" customHeight="false" outlineLevel="0" collapsed="false">
      <c r="A105" s="21" t="s">
        <v>315</v>
      </c>
      <c r="B105" s="21" t="s">
        <v>316</v>
      </c>
      <c r="C105" s="5" t="s">
        <v>317</v>
      </c>
      <c r="D105" s="45" t="s">
        <v>254</v>
      </c>
      <c r="E105" s="5" t="s">
        <v>206</v>
      </c>
      <c r="F105" s="20" t="n">
        <v>-1400</v>
      </c>
      <c r="G105" s="20" t="n">
        <v>134.9</v>
      </c>
      <c r="H105" s="20" t="n">
        <v>0</v>
      </c>
      <c r="I105" s="6" t="n">
        <v>188671.14</v>
      </c>
      <c r="J105" s="21" t="s">
        <v>33</v>
      </c>
      <c r="K105" s="5" t="s">
        <v>207</v>
      </c>
    </row>
    <row r="106" customFormat="false" ht="15" hidden="false" customHeight="false" outlineLevel="0" collapsed="false">
      <c r="A106" s="25" t="s">
        <v>315</v>
      </c>
      <c r="B106" s="25" t="s">
        <v>316</v>
      </c>
      <c r="C106" s="23" t="s">
        <v>295</v>
      </c>
      <c r="D106" s="45" t="s">
        <v>254</v>
      </c>
      <c r="E106" s="23" t="s">
        <v>206</v>
      </c>
      <c r="F106" s="24" t="n">
        <v>-1200</v>
      </c>
      <c r="G106" s="24" t="n">
        <v>207.8</v>
      </c>
      <c r="H106" s="24" t="n">
        <v>0</v>
      </c>
      <c r="I106" s="27" t="n">
        <v>249110.64</v>
      </c>
      <c r="J106" s="25" t="s">
        <v>33</v>
      </c>
      <c r="K106" s="23" t="s">
        <v>207</v>
      </c>
    </row>
    <row r="107" customFormat="false" ht="15" hidden="false" customHeight="false" outlineLevel="0" collapsed="false">
      <c r="A107" s="21" t="s">
        <v>315</v>
      </c>
      <c r="B107" s="21" t="s">
        <v>316</v>
      </c>
      <c r="C107" s="5" t="s">
        <v>233</v>
      </c>
      <c r="D107" s="44" t="s">
        <v>205</v>
      </c>
      <c r="E107" s="5" t="s">
        <v>206</v>
      </c>
      <c r="F107" s="20" t="n">
        <v>144</v>
      </c>
      <c r="G107" s="20" t="n">
        <v>95.1734</v>
      </c>
      <c r="H107" s="20" t="n">
        <v>0</v>
      </c>
      <c r="I107" s="6" t="n">
        <v>-151185.23</v>
      </c>
      <c r="J107" s="21" t="s">
        <v>33</v>
      </c>
      <c r="K107" s="5" t="s">
        <v>207</v>
      </c>
    </row>
    <row r="108" customFormat="false" ht="15" hidden="false" customHeight="false" outlineLevel="0" collapsed="false">
      <c r="A108" s="25" t="s">
        <v>315</v>
      </c>
      <c r="B108" s="25" t="s">
        <v>316</v>
      </c>
      <c r="C108" s="23" t="s">
        <v>78</v>
      </c>
      <c r="D108" s="44" t="s">
        <v>205</v>
      </c>
      <c r="E108" s="23" t="s">
        <v>206</v>
      </c>
      <c r="F108" s="24" t="n">
        <v>-865</v>
      </c>
      <c r="G108" s="24" t="n">
        <v>288.5</v>
      </c>
      <c r="H108" s="24" t="n">
        <v>0</v>
      </c>
      <c r="I108" s="27" t="n">
        <v>249302.95</v>
      </c>
      <c r="J108" s="25" t="s">
        <v>33</v>
      </c>
      <c r="K108" s="23" t="s">
        <v>207</v>
      </c>
    </row>
    <row r="109" customFormat="false" ht="15" hidden="false" customHeight="false" outlineLevel="0" collapsed="false">
      <c r="A109" s="21" t="s">
        <v>315</v>
      </c>
      <c r="B109" s="21" t="s">
        <v>316</v>
      </c>
      <c r="C109" s="5" t="s">
        <v>292</v>
      </c>
      <c r="D109" s="45" t="s">
        <v>254</v>
      </c>
      <c r="E109" s="5" t="s">
        <v>206</v>
      </c>
      <c r="F109" s="20" t="n">
        <v>-1500</v>
      </c>
      <c r="G109" s="20" t="n">
        <v>98.94</v>
      </c>
      <c r="H109" s="20" t="n">
        <v>0</v>
      </c>
      <c r="I109" s="6" t="n">
        <v>148261.59</v>
      </c>
      <c r="J109" s="21" t="s">
        <v>33</v>
      </c>
      <c r="K109" s="5" t="s">
        <v>207</v>
      </c>
    </row>
    <row r="110" customFormat="false" ht="15" hidden="false" customHeight="false" outlineLevel="0" collapsed="false">
      <c r="A110" s="25" t="s">
        <v>315</v>
      </c>
      <c r="B110" s="25" t="s">
        <v>316</v>
      </c>
      <c r="C110" s="23" t="s">
        <v>251</v>
      </c>
      <c r="D110" s="44" t="s">
        <v>205</v>
      </c>
      <c r="E110" s="23" t="s">
        <v>206</v>
      </c>
      <c r="F110" s="24" t="n">
        <v>633</v>
      </c>
      <c r="G110" s="24" t="n">
        <v>21.6817</v>
      </c>
      <c r="H110" s="24" t="n">
        <v>0</v>
      </c>
      <c r="I110" s="27" t="n">
        <v>-151488.82</v>
      </c>
      <c r="J110" s="25" t="s">
        <v>33</v>
      </c>
      <c r="K110" s="23" t="s">
        <v>207</v>
      </c>
    </row>
    <row r="111" customFormat="false" ht="15" hidden="false" customHeight="false" outlineLevel="0" collapsed="false">
      <c r="A111" s="21" t="s">
        <v>318</v>
      </c>
      <c r="B111" s="21" t="s">
        <v>318</v>
      </c>
      <c r="C111" s="5" t="s">
        <v>81</v>
      </c>
      <c r="D111" s="44" t="s">
        <v>205</v>
      </c>
      <c r="E111" s="5" t="s">
        <v>209</v>
      </c>
      <c r="F111" s="20" t="n">
        <v>1500</v>
      </c>
      <c r="G111" s="20"/>
      <c r="H111" s="20" t="n">
        <v>0</v>
      </c>
      <c r="I111" s="6" t="n">
        <v>8557.16</v>
      </c>
      <c r="J111" s="21" t="s">
        <v>33</v>
      </c>
      <c r="K111" s="5" t="s">
        <v>207</v>
      </c>
    </row>
    <row r="112" customFormat="false" ht="15" hidden="false" customHeight="false" outlineLevel="0" collapsed="false">
      <c r="A112" s="25" t="s">
        <v>319</v>
      </c>
      <c r="B112" s="25" t="s">
        <v>319</v>
      </c>
      <c r="C112" s="23" t="s">
        <v>282</v>
      </c>
      <c r="D112" s="45" t="s">
        <v>254</v>
      </c>
      <c r="E112" s="23" t="s">
        <v>209</v>
      </c>
      <c r="F112" s="24" t="n">
        <v>7600</v>
      </c>
      <c r="G112" s="24"/>
      <c r="H112" s="24" t="n">
        <v>0</v>
      </c>
      <c r="I112" s="27" t="n">
        <v>6916</v>
      </c>
      <c r="J112" s="25" t="s">
        <v>33</v>
      </c>
      <c r="K112" s="23" t="s">
        <v>207</v>
      </c>
    </row>
    <row r="113" customFormat="false" ht="15" hidden="false" customHeight="false" outlineLevel="0" collapsed="false">
      <c r="A113" s="21" t="s">
        <v>320</v>
      </c>
      <c r="B113" s="21" t="s">
        <v>320</v>
      </c>
      <c r="C113" s="5" t="s">
        <v>272</v>
      </c>
      <c r="D113" s="45" t="s">
        <v>254</v>
      </c>
      <c r="E113" s="5" t="s">
        <v>209</v>
      </c>
      <c r="F113" s="20" t="n">
        <v>4800</v>
      </c>
      <c r="G113" s="20"/>
      <c r="H113" s="20" t="n">
        <v>0</v>
      </c>
      <c r="I113" s="6" t="n">
        <v>6480</v>
      </c>
      <c r="J113" s="21" t="s">
        <v>33</v>
      </c>
      <c r="K113" s="5" t="s">
        <v>207</v>
      </c>
    </row>
    <row r="114" customFormat="false" ht="15" hidden="false" customHeight="false" outlineLevel="0" collapsed="false">
      <c r="A114" s="25" t="s">
        <v>321</v>
      </c>
      <c r="B114" s="25" t="s">
        <v>321</v>
      </c>
      <c r="C114" s="23" t="s">
        <v>322</v>
      </c>
      <c r="D114" s="45" t="s">
        <v>254</v>
      </c>
      <c r="E114" s="23" t="s">
        <v>209</v>
      </c>
      <c r="F114" s="24" t="n">
        <v>90</v>
      </c>
      <c r="G114" s="24"/>
      <c r="H114" s="24" t="n">
        <v>0</v>
      </c>
      <c r="I114" s="27" t="n">
        <v>574.13</v>
      </c>
      <c r="J114" s="25" t="s">
        <v>33</v>
      </c>
      <c r="K114" s="23" t="s">
        <v>207</v>
      </c>
    </row>
    <row r="115" customFormat="false" ht="15" hidden="false" customHeight="false" outlineLevel="0" collapsed="false">
      <c r="A115" s="21" t="s">
        <v>323</v>
      </c>
      <c r="B115" s="21" t="s">
        <v>324</v>
      </c>
      <c r="C115" s="5" t="s">
        <v>325</v>
      </c>
      <c r="D115" s="45" t="s">
        <v>254</v>
      </c>
      <c r="E115" s="5" t="s">
        <v>206</v>
      </c>
      <c r="F115" s="20" t="n">
        <v>-500</v>
      </c>
      <c r="G115" s="20" t="n">
        <v>39.98</v>
      </c>
      <c r="H115" s="20" t="n">
        <v>0</v>
      </c>
      <c r="I115" s="6" t="n">
        <v>237145.87</v>
      </c>
      <c r="J115" s="21" t="s">
        <v>33</v>
      </c>
      <c r="K115" s="5" t="s">
        <v>207</v>
      </c>
    </row>
    <row r="116" customFormat="false" ht="15" hidden="false" customHeight="false" outlineLevel="0" collapsed="false">
      <c r="A116" s="25" t="s">
        <v>323</v>
      </c>
      <c r="B116" s="25" t="s">
        <v>324</v>
      </c>
      <c r="C116" s="23" t="s">
        <v>295</v>
      </c>
      <c r="D116" s="45" t="s">
        <v>254</v>
      </c>
      <c r="E116" s="23" t="s">
        <v>206</v>
      </c>
      <c r="F116" s="24" t="n">
        <v>-1000</v>
      </c>
      <c r="G116" s="24" t="n">
        <v>191.8</v>
      </c>
      <c r="H116" s="24" t="n">
        <v>0</v>
      </c>
      <c r="I116" s="27" t="n">
        <v>191608.2</v>
      </c>
      <c r="J116" s="25" t="s">
        <v>33</v>
      </c>
      <c r="K116" s="23" t="s">
        <v>207</v>
      </c>
    </row>
    <row r="117" customFormat="false" ht="15" hidden="false" customHeight="false" outlineLevel="0" collapsed="false">
      <c r="A117" s="21" t="s">
        <v>323</v>
      </c>
      <c r="B117" s="21" t="s">
        <v>324</v>
      </c>
      <c r="C117" s="5" t="s">
        <v>326</v>
      </c>
      <c r="D117" s="45" t="s">
        <v>254</v>
      </c>
      <c r="E117" s="5" t="s">
        <v>206</v>
      </c>
      <c r="F117" s="20" t="n">
        <v>-760</v>
      </c>
      <c r="G117" s="20" t="n">
        <v>63.47236842</v>
      </c>
      <c r="H117" s="20" t="n">
        <v>0</v>
      </c>
      <c r="I117" s="6" t="n">
        <v>48139</v>
      </c>
      <c r="J117" s="21" t="s">
        <v>33</v>
      </c>
      <c r="K117" s="5" t="s">
        <v>207</v>
      </c>
    </row>
    <row r="118" customFormat="false" ht="15" hidden="false" customHeight="false" outlineLevel="0" collapsed="false">
      <c r="A118" s="25" t="s">
        <v>323</v>
      </c>
      <c r="B118" s="25" t="s">
        <v>324</v>
      </c>
      <c r="C118" s="23" t="s">
        <v>327</v>
      </c>
      <c r="D118" s="45" t="s">
        <v>254</v>
      </c>
      <c r="E118" s="23" t="s">
        <v>206</v>
      </c>
      <c r="F118" s="24" t="n">
        <v>-1600</v>
      </c>
      <c r="G118" s="24" t="n">
        <v>202.70340625</v>
      </c>
      <c r="H118" s="24" t="n">
        <v>0</v>
      </c>
      <c r="I118" s="27" t="n">
        <v>324001.12</v>
      </c>
      <c r="J118" s="25" t="s">
        <v>33</v>
      </c>
      <c r="K118" s="23" t="s">
        <v>207</v>
      </c>
    </row>
    <row r="119" customFormat="false" ht="15" hidden="false" customHeight="false" outlineLevel="0" collapsed="false">
      <c r="A119" s="21" t="s">
        <v>323</v>
      </c>
      <c r="B119" s="21" t="s">
        <v>324</v>
      </c>
      <c r="C119" s="5" t="s">
        <v>328</v>
      </c>
      <c r="D119" s="45" t="s">
        <v>254</v>
      </c>
      <c r="E119" s="5" t="s">
        <v>206</v>
      </c>
      <c r="F119" s="20" t="n">
        <v>-190</v>
      </c>
      <c r="G119" s="20" t="n">
        <v>532.4</v>
      </c>
      <c r="H119" s="20" t="n">
        <v>0</v>
      </c>
      <c r="I119" s="6" t="n">
        <v>161051.1</v>
      </c>
      <c r="J119" s="21" t="s">
        <v>33</v>
      </c>
      <c r="K119" s="5" t="s">
        <v>207</v>
      </c>
    </row>
    <row r="120" customFormat="false" ht="15" hidden="false" customHeight="false" outlineLevel="0" collapsed="false">
      <c r="A120" s="25" t="s">
        <v>323</v>
      </c>
      <c r="B120" s="25" t="s">
        <v>324</v>
      </c>
      <c r="C120" s="23" t="s">
        <v>322</v>
      </c>
      <c r="D120" s="45" t="s">
        <v>254</v>
      </c>
      <c r="E120" s="23" t="s">
        <v>206</v>
      </c>
      <c r="F120" s="24" t="n">
        <v>-90</v>
      </c>
      <c r="G120" s="24" t="n">
        <v>317.95</v>
      </c>
      <c r="H120" s="24" t="n">
        <v>0</v>
      </c>
      <c r="I120" s="27" t="n">
        <v>310973.8</v>
      </c>
      <c r="J120" s="25" t="s">
        <v>33</v>
      </c>
      <c r="K120" s="23" t="s">
        <v>207</v>
      </c>
    </row>
    <row r="121" customFormat="false" ht="15" hidden="false" customHeight="false" outlineLevel="0" collapsed="false">
      <c r="A121" s="21" t="s">
        <v>323</v>
      </c>
      <c r="B121" s="21" t="s">
        <v>324</v>
      </c>
      <c r="C121" s="5" t="s">
        <v>329</v>
      </c>
      <c r="D121" s="45" t="s">
        <v>254</v>
      </c>
      <c r="E121" s="5" t="s">
        <v>206</v>
      </c>
      <c r="F121" s="20" t="n">
        <v>-300</v>
      </c>
      <c r="G121" s="20" t="n">
        <v>259.7</v>
      </c>
      <c r="H121" s="20" t="n">
        <v>0</v>
      </c>
      <c r="I121" s="6" t="n">
        <v>77810</v>
      </c>
      <c r="J121" s="21" t="s">
        <v>33</v>
      </c>
      <c r="K121" s="5" t="s">
        <v>207</v>
      </c>
    </row>
    <row r="122" customFormat="false" ht="15" hidden="false" customHeight="false" outlineLevel="0" collapsed="false">
      <c r="A122" s="25" t="s">
        <v>323</v>
      </c>
      <c r="B122" s="25" t="s">
        <v>324</v>
      </c>
      <c r="C122" s="23" t="s">
        <v>330</v>
      </c>
      <c r="D122" s="45" t="s">
        <v>254</v>
      </c>
      <c r="E122" s="23" t="s">
        <v>206</v>
      </c>
      <c r="F122" s="24" t="n">
        <v>-200</v>
      </c>
      <c r="G122" s="24" t="n">
        <v>127.89</v>
      </c>
      <c r="H122" s="24" t="n">
        <v>0</v>
      </c>
      <c r="I122" s="27" t="n">
        <v>277964.34</v>
      </c>
      <c r="J122" s="25" t="s">
        <v>33</v>
      </c>
      <c r="K122" s="23" t="s">
        <v>207</v>
      </c>
    </row>
    <row r="123" customFormat="false" ht="15" hidden="false" customHeight="false" outlineLevel="0" collapsed="false">
      <c r="A123" s="21" t="s">
        <v>323</v>
      </c>
      <c r="B123" s="21" t="s">
        <v>324</v>
      </c>
      <c r="C123" s="5" t="s">
        <v>331</v>
      </c>
      <c r="D123" s="45" t="s">
        <v>254</v>
      </c>
      <c r="E123" s="5" t="s">
        <v>206</v>
      </c>
      <c r="F123" s="20" t="n">
        <v>-3720</v>
      </c>
      <c r="G123" s="20" t="n">
        <v>44.53920161</v>
      </c>
      <c r="H123" s="20" t="n">
        <v>0</v>
      </c>
      <c r="I123" s="6" t="n">
        <v>165520.14</v>
      </c>
      <c r="J123" s="21" t="s">
        <v>33</v>
      </c>
      <c r="K123" s="5" t="s">
        <v>207</v>
      </c>
    </row>
    <row r="124" customFormat="false" ht="15" hidden="false" customHeight="false" outlineLevel="0" collapsed="false">
      <c r="A124" s="25" t="s">
        <v>332</v>
      </c>
      <c r="B124" s="25" t="s">
        <v>332</v>
      </c>
      <c r="C124" s="23" t="s">
        <v>280</v>
      </c>
      <c r="D124" s="45" t="s">
        <v>254</v>
      </c>
      <c r="E124" s="23" t="s">
        <v>209</v>
      </c>
      <c r="F124" s="24" t="n">
        <v>6200</v>
      </c>
      <c r="G124" s="24"/>
      <c r="H124" s="24" t="n">
        <v>0</v>
      </c>
      <c r="I124" s="27" t="n">
        <v>1408.61</v>
      </c>
      <c r="J124" s="25" t="s">
        <v>33</v>
      </c>
      <c r="K124" s="23" t="s">
        <v>207</v>
      </c>
    </row>
    <row r="125" customFormat="false" ht="15" hidden="false" customHeight="false" outlineLevel="0" collapsed="false">
      <c r="A125" s="21" t="s">
        <v>333</v>
      </c>
      <c r="B125" s="21" t="s">
        <v>334</v>
      </c>
      <c r="C125" s="5" t="s">
        <v>88</v>
      </c>
      <c r="D125" s="44" t="s">
        <v>205</v>
      </c>
      <c r="E125" s="5" t="s">
        <v>335</v>
      </c>
      <c r="F125" s="20" t="n">
        <v>1000</v>
      </c>
      <c r="G125" s="20"/>
      <c r="H125" s="20" t="n">
        <v>0</v>
      </c>
      <c r="I125" s="6"/>
      <c r="J125" s="21"/>
      <c r="K125" s="5" t="s">
        <v>207</v>
      </c>
    </row>
    <row r="126" customFormat="false" ht="15" hidden="false" customHeight="false" outlineLevel="0" collapsed="false">
      <c r="A126" s="25" t="s">
        <v>333</v>
      </c>
      <c r="B126" s="25" t="s">
        <v>334</v>
      </c>
      <c r="C126" s="23" t="s">
        <v>336</v>
      </c>
      <c r="D126" s="44" t="s">
        <v>205</v>
      </c>
      <c r="E126" s="23" t="s">
        <v>337</v>
      </c>
      <c r="F126" s="24" t="n">
        <v>-1000</v>
      </c>
      <c r="G126" s="24"/>
      <c r="H126" s="24" t="n">
        <v>0</v>
      </c>
      <c r="I126" s="27"/>
      <c r="J126" s="25"/>
      <c r="K126" s="23" t="s">
        <v>207</v>
      </c>
    </row>
    <row r="127" customFormat="false" ht="15" hidden="false" customHeight="false" outlineLevel="0" collapsed="false">
      <c r="A127" s="21" t="s">
        <v>333</v>
      </c>
      <c r="B127" s="21" t="s">
        <v>333</v>
      </c>
      <c r="C127" s="5" t="s">
        <v>322</v>
      </c>
      <c r="D127" s="45" t="s">
        <v>254</v>
      </c>
      <c r="E127" s="5" t="s">
        <v>209</v>
      </c>
      <c r="F127" s="20" t="n">
        <v>90</v>
      </c>
      <c r="G127" s="20"/>
      <c r="H127" s="20" t="n">
        <v>0</v>
      </c>
      <c r="I127" s="6" t="n">
        <v>559.88</v>
      </c>
      <c r="J127" s="21" t="s">
        <v>33</v>
      </c>
      <c r="K127" s="5" t="s">
        <v>207</v>
      </c>
    </row>
    <row r="128" customFormat="false" ht="15" hidden="false" customHeight="false" outlineLevel="0" collapsed="false">
      <c r="A128" s="25" t="s">
        <v>338</v>
      </c>
      <c r="B128" s="25" t="s">
        <v>338</v>
      </c>
      <c r="C128" s="23" t="s">
        <v>294</v>
      </c>
      <c r="D128" s="45" t="s">
        <v>254</v>
      </c>
      <c r="E128" s="23" t="s">
        <v>209</v>
      </c>
      <c r="F128" s="24" t="n">
        <v>4300</v>
      </c>
      <c r="G128" s="24"/>
      <c r="H128" s="24" t="n">
        <v>0</v>
      </c>
      <c r="I128" s="27" t="n">
        <v>516</v>
      </c>
      <c r="J128" s="25" t="s">
        <v>33</v>
      </c>
      <c r="K128" s="23" t="s">
        <v>207</v>
      </c>
    </row>
    <row r="129" customFormat="false" ht="15" hidden="false" customHeight="false" outlineLevel="0" collapsed="false">
      <c r="A129" s="21" t="s">
        <v>339</v>
      </c>
      <c r="B129" s="21" t="s">
        <v>339</v>
      </c>
      <c r="C129" s="5" t="s">
        <v>325</v>
      </c>
      <c r="D129" s="45" t="s">
        <v>254</v>
      </c>
      <c r="E129" s="5" t="s">
        <v>209</v>
      </c>
      <c r="F129" s="20" t="n">
        <v>500</v>
      </c>
      <c r="G129" s="20"/>
      <c r="H129" s="20" t="n">
        <v>0</v>
      </c>
      <c r="I129" s="6" t="n">
        <v>9755.86</v>
      </c>
      <c r="J129" s="21" t="s">
        <v>33</v>
      </c>
      <c r="K129" s="5" t="s">
        <v>207</v>
      </c>
    </row>
    <row r="130" customFormat="false" ht="15" hidden="false" customHeight="false" outlineLevel="0" collapsed="false">
      <c r="A130" s="25" t="s">
        <v>340</v>
      </c>
      <c r="B130" s="25" t="s">
        <v>340</v>
      </c>
      <c r="C130" s="23" t="s">
        <v>336</v>
      </c>
      <c r="D130" s="44" t="s">
        <v>205</v>
      </c>
      <c r="E130" s="23" t="s">
        <v>341</v>
      </c>
      <c r="F130" s="24" t="n">
        <v>1000</v>
      </c>
      <c r="G130" s="24" t="n">
        <v>62</v>
      </c>
      <c r="H130" s="24" t="n">
        <v>0</v>
      </c>
      <c r="I130" s="27" t="n">
        <v>-62000</v>
      </c>
      <c r="J130" s="25" t="s">
        <v>33</v>
      </c>
      <c r="K130" s="23" t="s">
        <v>207</v>
      </c>
    </row>
    <row r="131" customFormat="false" ht="15" hidden="false" customHeight="false" outlineLevel="0" collapsed="false">
      <c r="A131" s="21" t="s">
        <v>340</v>
      </c>
      <c r="B131" s="21" t="s">
        <v>340</v>
      </c>
      <c r="C131" s="5" t="s">
        <v>342</v>
      </c>
      <c r="D131" s="44" t="s">
        <v>205</v>
      </c>
      <c r="E131" s="5" t="s">
        <v>343</v>
      </c>
      <c r="F131" s="20" t="n">
        <v>-2000</v>
      </c>
      <c r="G131" s="20"/>
      <c r="H131" s="20" t="n">
        <v>0</v>
      </c>
      <c r="I131" s="6"/>
      <c r="J131" s="21"/>
      <c r="K131" s="5" t="s">
        <v>207</v>
      </c>
    </row>
    <row r="132" customFormat="false" ht="15" hidden="false" customHeight="false" outlineLevel="0" collapsed="false">
      <c r="A132" s="25" t="s">
        <v>344</v>
      </c>
      <c r="B132" s="25" t="s">
        <v>345</v>
      </c>
      <c r="C132" s="23" t="s">
        <v>90</v>
      </c>
      <c r="D132" s="44" t="s">
        <v>205</v>
      </c>
      <c r="E132" s="23" t="s">
        <v>218</v>
      </c>
      <c r="F132" s="24" t="n">
        <v>4000</v>
      </c>
      <c r="G132" s="24" t="n">
        <v>25.5</v>
      </c>
      <c r="H132" s="24" t="n">
        <v>0</v>
      </c>
      <c r="I132" s="27" t="n">
        <v>-102102</v>
      </c>
      <c r="J132" s="25" t="s">
        <v>33</v>
      </c>
      <c r="K132" s="23" t="s">
        <v>207</v>
      </c>
    </row>
    <row r="133" customFormat="false" ht="15" hidden="false" customHeight="false" outlineLevel="0" collapsed="false">
      <c r="A133" s="21" t="s">
        <v>346</v>
      </c>
      <c r="B133" s="21" t="s">
        <v>346</v>
      </c>
      <c r="C133" s="5" t="s">
        <v>342</v>
      </c>
      <c r="D133" s="44" t="s">
        <v>205</v>
      </c>
      <c r="E133" s="5" t="s">
        <v>347</v>
      </c>
      <c r="F133" s="20" t="n">
        <v>2000</v>
      </c>
      <c r="G133" s="20"/>
      <c r="H133" s="20" t="n">
        <v>0</v>
      </c>
      <c r="I133" s="6" t="n">
        <v>0</v>
      </c>
      <c r="J133" s="21" t="s">
        <v>33</v>
      </c>
      <c r="K133" s="5" t="s">
        <v>207</v>
      </c>
    </row>
    <row r="134" customFormat="false" ht="15" hidden="false" customHeight="false" outlineLevel="0" collapsed="false">
      <c r="A134" s="25" t="s">
        <v>348</v>
      </c>
      <c r="B134" s="25" t="s">
        <v>348</v>
      </c>
      <c r="C134" s="23" t="s">
        <v>294</v>
      </c>
      <c r="D134" s="45" t="s">
        <v>254</v>
      </c>
      <c r="E134" s="23" t="s">
        <v>209</v>
      </c>
      <c r="F134" s="24" t="n">
        <v>4300</v>
      </c>
      <c r="G134" s="24"/>
      <c r="H134" s="24" t="n">
        <v>0</v>
      </c>
      <c r="I134" s="27" t="n">
        <v>516</v>
      </c>
      <c r="J134" s="25" t="s">
        <v>33</v>
      </c>
      <c r="K134" s="23" t="s">
        <v>207</v>
      </c>
    </row>
    <row r="135" customFormat="false" ht="15" hidden="false" customHeight="false" outlineLevel="0" collapsed="false">
      <c r="A135" s="21" t="s">
        <v>349</v>
      </c>
      <c r="B135" s="21" t="s">
        <v>350</v>
      </c>
      <c r="C135" s="5" t="s">
        <v>342</v>
      </c>
      <c r="D135" s="44" t="s">
        <v>205</v>
      </c>
      <c r="E135" s="5" t="s">
        <v>351</v>
      </c>
      <c r="F135" s="20" t="n">
        <v>2000</v>
      </c>
      <c r="G135" s="20"/>
      <c r="H135" s="20" t="n">
        <v>0</v>
      </c>
      <c r="I135" s="6" t="n">
        <v>0</v>
      </c>
      <c r="J135" s="21" t="s">
        <v>33</v>
      </c>
      <c r="K135" s="5" t="s">
        <v>207</v>
      </c>
    </row>
    <row r="136" customFormat="false" ht="15" hidden="false" customHeight="false" outlineLevel="0" collapsed="false">
      <c r="A136" s="25" t="s">
        <v>352</v>
      </c>
      <c r="B136" s="25" t="s">
        <v>352</v>
      </c>
      <c r="C136" s="23" t="s">
        <v>70</v>
      </c>
      <c r="D136" s="44" t="s">
        <v>205</v>
      </c>
      <c r="E136" s="23" t="s">
        <v>209</v>
      </c>
      <c r="F136" s="24" t="n">
        <v>1800</v>
      </c>
      <c r="G136" s="24"/>
      <c r="H136" s="24" t="n">
        <v>0</v>
      </c>
      <c r="I136" s="27" t="n">
        <v>5940</v>
      </c>
      <c r="J136" s="25" t="s">
        <v>33</v>
      </c>
      <c r="K136" s="23" t="s">
        <v>207</v>
      </c>
    </row>
    <row r="137" customFormat="false" ht="15" hidden="false" customHeight="false" outlineLevel="0" collapsed="false">
      <c r="A137" s="21" t="s">
        <v>353</v>
      </c>
      <c r="B137" s="21" t="s">
        <v>353</v>
      </c>
      <c r="C137" s="5" t="s">
        <v>331</v>
      </c>
      <c r="D137" s="45" t="s">
        <v>254</v>
      </c>
      <c r="E137" s="5" t="s">
        <v>209</v>
      </c>
      <c r="F137" s="20" t="n">
        <v>3720</v>
      </c>
      <c r="G137" s="20"/>
      <c r="H137" s="20" t="n">
        <v>0</v>
      </c>
      <c r="I137" s="6" t="n">
        <v>5208</v>
      </c>
      <c r="J137" s="21" t="s">
        <v>33</v>
      </c>
      <c r="K137" s="5" t="s">
        <v>207</v>
      </c>
    </row>
    <row r="138" customFormat="false" ht="15" hidden="false" customHeight="false" outlineLevel="0" collapsed="false">
      <c r="A138" s="25" t="s">
        <v>354</v>
      </c>
      <c r="B138" s="25" t="s">
        <v>354</v>
      </c>
      <c r="C138" s="23" t="s">
        <v>280</v>
      </c>
      <c r="D138" s="45" t="s">
        <v>254</v>
      </c>
      <c r="E138" s="23" t="s">
        <v>209</v>
      </c>
      <c r="F138" s="24" t="n">
        <v>6200</v>
      </c>
      <c r="G138" s="24"/>
      <c r="H138" s="24" t="n">
        <v>0</v>
      </c>
      <c r="I138" s="27" t="n">
        <v>1367.13</v>
      </c>
      <c r="J138" s="25" t="s">
        <v>33</v>
      </c>
      <c r="K138" s="23" t="s">
        <v>207</v>
      </c>
    </row>
    <row r="139" customFormat="false" ht="15" hidden="false" customHeight="false" outlineLevel="0" collapsed="false">
      <c r="A139" s="21" t="s">
        <v>355</v>
      </c>
      <c r="B139" s="21" t="s">
        <v>355</v>
      </c>
      <c r="C139" s="5" t="s">
        <v>327</v>
      </c>
      <c r="D139" s="45" t="s">
        <v>254</v>
      </c>
      <c r="E139" s="5" t="s">
        <v>209</v>
      </c>
      <c r="F139" s="20" t="n">
        <v>1600</v>
      </c>
      <c r="G139" s="20"/>
      <c r="H139" s="20" t="n">
        <v>0</v>
      </c>
      <c r="I139" s="6" t="n">
        <v>8000</v>
      </c>
      <c r="J139" s="21" t="s">
        <v>33</v>
      </c>
      <c r="K139" s="5" t="s">
        <v>207</v>
      </c>
    </row>
    <row r="140" customFormat="false" ht="15" hidden="false" customHeight="false" outlineLevel="0" collapsed="false">
      <c r="A140" s="25" t="s">
        <v>356</v>
      </c>
      <c r="B140" s="25" t="s">
        <v>356</v>
      </c>
      <c r="C140" s="23" t="s">
        <v>282</v>
      </c>
      <c r="D140" s="45" t="s">
        <v>254</v>
      </c>
      <c r="E140" s="23" t="s">
        <v>209</v>
      </c>
      <c r="F140" s="24" t="n">
        <v>7600</v>
      </c>
      <c r="G140" s="24"/>
      <c r="H140" s="24" t="n">
        <v>0</v>
      </c>
      <c r="I140" s="27" t="n">
        <v>8132</v>
      </c>
      <c r="J140" s="25" t="s">
        <v>33</v>
      </c>
      <c r="K140" s="23" t="s">
        <v>207</v>
      </c>
    </row>
    <row r="141" customFormat="false" ht="15" hidden="false" customHeight="false" outlineLevel="0" collapsed="false">
      <c r="A141" s="21" t="s">
        <v>356</v>
      </c>
      <c r="B141" s="21" t="s">
        <v>356</v>
      </c>
      <c r="C141" s="5" t="s">
        <v>326</v>
      </c>
      <c r="D141" s="45" t="s">
        <v>254</v>
      </c>
      <c r="E141" s="5" t="s">
        <v>209</v>
      </c>
      <c r="F141" s="20" t="n">
        <v>760</v>
      </c>
      <c r="G141" s="20"/>
      <c r="H141" s="20" t="n">
        <v>0</v>
      </c>
      <c r="I141" s="6" t="n">
        <v>2166</v>
      </c>
      <c r="J141" s="21" t="s">
        <v>33</v>
      </c>
      <c r="K141" s="5" t="s">
        <v>207</v>
      </c>
    </row>
    <row r="142" customFormat="false" ht="15" hidden="false" customHeight="false" outlineLevel="0" collapsed="false">
      <c r="A142" s="25" t="s">
        <v>357</v>
      </c>
      <c r="B142" s="25" t="s">
        <v>357</v>
      </c>
      <c r="C142" s="23" t="s">
        <v>288</v>
      </c>
      <c r="D142" s="45" t="s">
        <v>254</v>
      </c>
      <c r="E142" s="23" t="s">
        <v>209</v>
      </c>
      <c r="F142" s="24" t="n">
        <v>50</v>
      </c>
      <c r="G142" s="24"/>
      <c r="H142" s="24" t="n">
        <v>0</v>
      </c>
      <c r="I142" s="27" t="n">
        <v>750</v>
      </c>
      <c r="J142" s="25" t="s">
        <v>33</v>
      </c>
      <c r="K142" s="23" t="s">
        <v>207</v>
      </c>
    </row>
    <row r="143" customFormat="false" ht="15" hidden="false" customHeight="false" outlineLevel="0" collapsed="false">
      <c r="A143" s="21" t="s">
        <v>358</v>
      </c>
      <c r="B143" s="21" t="s">
        <v>358</v>
      </c>
      <c r="C143" s="5" t="s">
        <v>78</v>
      </c>
      <c r="D143" s="44" t="s">
        <v>205</v>
      </c>
      <c r="E143" s="5" t="s">
        <v>209</v>
      </c>
      <c r="F143" s="20" t="n">
        <v>2250</v>
      </c>
      <c r="G143" s="20"/>
      <c r="H143" s="20" t="n">
        <v>0</v>
      </c>
      <c r="I143" s="6" t="n">
        <v>16312.5</v>
      </c>
      <c r="J143" s="21" t="s">
        <v>33</v>
      </c>
      <c r="K143" s="5" t="s">
        <v>207</v>
      </c>
    </row>
    <row r="144" customFormat="false" ht="15" hidden="false" customHeight="false" outlineLevel="0" collapsed="false">
      <c r="A144" s="25" t="s">
        <v>359</v>
      </c>
      <c r="B144" s="25" t="s">
        <v>359</v>
      </c>
      <c r="C144" s="23" t="s">
        <v>317</v>
      </c>
      <c r="D144" s="45" t="s">
        <v>254</v>
      </c>
      <c r="E144" s="23" t="s">
        <v>209</v>
      </c>
      <c r="F144" s="24" t="n">
        <v>1400</v>
      </c>
      <c r="G144" s="24"/>
      <c r="H144" s="24" t="n">
        <v>0</v>
      </c>
      <c r="I144" s="27" t="n">
        <v>9450</v>
      </c>
      <c r="J144" s="25" t="s">
        <v>33</v>
      </c>
      <c r="K144" s="23" t="s">
        <v>207</v>
      </c>
    </row>
    <row r="145" customFormat="false" ht="15" hidden="false" customHeight="false" outlineLevel="0" collapsed="false">
      <c r="A145" s="21" t="s">
        <v>360</v>
      </c>
      <c r="B145" s="21" t="s">
        <v>360</v>
      </c>
      <c r="C145" s="5" t="s">
        <v>81</v>
      </c>
      <c r="D145" s="44" t="s">
        <v>205</v>
      </c>
      <c r="E145" s="5" t="s">
        <v>209</v>
      </c>
      <c r="F145" s="20" t="n">
        <v>1500</v>
      </c>
      <c r="G145" s="20"/>
      <c r="H145" s="20" t="n">
        <v>0</v>
      </c>
      <c r="I145" s="6" t="n">
        <v>8336.1</v>
      </c>
      <c r="J145" s="21" t="s">
        <v>33</v>
      </c>
      <c r="K145" s="5" t="s">
        <v>207</v>
      </c>
    </row>
    <row r="146" customFormat="false" ht="15" hidden="false" customHeight="false" outlineLevel="0" collapsed="false">
      <c r="A146" s="25" t="s">
        <v>360</v>
      </c>
      <c r="B146" s="25" t="s">
        <v>360</v>
      </c>
      <c r="C146" s="23" t="s">
        <v>295</v>
      </c>
      <c r="D146" s="45" t="s">
        <v>254</v>
      </c>
      <c r="E146" s="23" t="s">
        <v>209</v>
      </c>
      <c r="F146" s="24" t="n">
        <v>3000</v>
      </c>
      <c r="G146" s="24"/>
      <c r="H146" s="24" t="n">
        <v>0</v>
      </c>
      <c r="I146" s="27" t="n">
        <v>29250</v>
      </c>
      <c r="J146" s="25" t="s">
        <v>33</v>
      </c>
      <c r="K146" s="23" t="s">
        <v>207</v>
      </c>
    </row>
    <row r="147" customFormat="false" ht="15" hidden="false" customHeight="false" outlineLevel="0" collapsed="false">
      <c r="A147" s="21" t="s">
        <v>361</v>
      </c>
      <c r="B147" s="21" t="s">
        <v>361</v>
      </c>
      <c r="C147" s="5" t="s">
        <v>294</v>
      </c>
      <c r="D147" s="45" t="s">
        <v>254</v>
      </c>
      <c r="E147" s="5" t="s">
        <v>209</v>
      </c>
      <c r="F147" s="20" t="n">
        <v>4300</v>
      </c>
      <c r="G147" s="20"/>
      <c r="H147" s="20" t="n">
        <v>0</v>
      </c>
      <c r="I147" s="6" t="n">
        <v>473</v>
      </c>
      <c r="J147" s="21" t="s">
        <v>33</v>
      </c>
      <c r="K147" s="5" t="s">
        <v>207</v>
      </c>
    </row>
    <row r="148" customFormat="false" ht="15" hidden="false" customHeight="false" outlineLevel="0" collapsed="false">
      <c r="A148" s="25" t="s">
        <v>361</v>
      </c>
      <c r="B148" s="25" t="s">
        <v>361</v>
      </c>
      <c r="C148" s="23" t="s">
        <v>329</v>
      </c>
      <c r="D148" s="45" t="s">
        <v>254</v>
      </c>
      <c r="E148" s="23" t="s">
        <v>209</v>
      </c>
      <c r="F148" s="24" t="n">
        <v>300</v>
      </c>
      <c r="G148" s="24"/>
      <c r="H148" s="24" t="n">
        <v>0</v>
      </c>
      <c r="I148" s="27" t="n">
        <v>2175</v>
      </c>
      <c r="J148" s="25" t="s">
        <v>33</v>
      </c>
      <c r="K148" s="23" t="s">
        <v>207</v>
      </c>
    </row>
    <row r="149" customFormat="false" ht="15" hidden="false" customHeight="false" outlineLevel="0" collapsed="false">
      <c r="A149" s="21" t="s">
        <v>361</v>
      </c>
      <c r="B149" s="21" t="s">
        <v>361</v>
      </c>
      <c r="C149" s="5" t="s">
        <v>272</v>
      </c>
      <c r="D149" s="45" t="s">
        <v>254</v>
      </c>
      <c r="E149" s="5" t="s">
        <v>209</v>
      </c>
      <c r="F149" s="20" t="n">
        <v>4800</v>
      </c>
      <c r="G149" s="20"/>
      <c r="H149" s="20" t="n">
        <v>0</v>
      </c>
      <c r="I149" s="6" t="n">
        <v>6480</v>
      </c>
      <c r="J149" s="21" t="s">
        <v>33</v>
      </c>
      <c r="K149" s="5" t="s">
        <v>207</v>
      </c>
    </row>
    <row r="150" customFormat="false" ht="15" hidden="false" customHeight="false" outlineLevel="0" collapsed="false">
      <c r="A150" s="25" t="s">
        <v>362</v>
      </c>
      <c r="B150" s="25" t="s">
        <v>362</v>
      </c>
      <c r="C150" s="23" t="s">
        <v>292</v>
      </c>
      <c r="D150" s="45" t="s">
        <v>254</v>
      </c>
      <c r="E150" s="23" t="s">
        <v>209</v>
      </c>
      <c r="F150" s="24" t="n">
        <v>3100</v>
      </c>
      <c r="G150" s="24"/>
      <c r="H150" s="24" t="n">
        <v>0</v>
      </c>
      <c r="I150" s="27" t="n">
        <v>24800</v>
      </c>
      <c r="J150" s="25" t="s">
        <v>33</v>
      </c>
      <c r="K150" s="23" t="s">
        <v>207</v>
      </c>
    </row>
    <row r="151" customFormat="false" ht="15" hidden="false" customHeight="false" outlineLevel="0" collapsed="false">
      <c r="A151" s="21" t="s">
        <v>363</v>
      </c>
      <c r="B151" s="21" t="s">
        <v>363</v>
      </c>
      <c r="C151" s="5" t="s">
        <v>328</v>
      </c>
      <c r="D151" s="45" t="s">
        <v>254</v>
      </c>
      <c r="E151" s="5" t="s">
        <v>209</v>
      </c>
      <c r="F151" s="20" t="n">
        <v>190</v>
      </c>
      <c r="G151" s="20"/>
      <c r="H151" s="20" t="n">
        <v>0</v>
      </c>
      <c r="I151" s="6" t="n">
        <v>2834.27</v>
      </c>
      <c r="J151" s="21" t="s">
        <v>33</v>
      </c>
      <c r="K151" s="5" t="s">
        <v>207</v>
      </c>
    </row>
    <row r="152" customFormat="false" ht="15" hidden="false" customHeight="false" outlineLevel="0" collapsed="false">
      <c r="A152" s="25" t="s">
        <v>364</v>
      </c>
      <c r="B152" s="25" t="s">
        <v>364</v>
      </c>
      <c r="C152" s="23" t="s">
        <v>322</v>
      </c>
      <c r="D152" s="45" t="s">
        <v>254</v>
      </c>
      <c r="E152" s="23" t="s">
        <v>209</v>
      </c>
      <c r="F152" s="24" t="n">
        <v>90</v>
      </c>
      <c r="G152" s="24"/>
      <c r="H152" s="24" t="n">
        <v>0</v>
      </c>
      <c r="I152" s="27" t="n">
        <v>540.62</v>
      </c>
      <c r="J152" s="25" t="s">
        <v>33</v>
      </c>
      <c r="K152" s="23" t="s">
        <v>207</v>
      </c>
    </row>
    <row r="153" customFormat="false" ht="15" hidden="false" customHeight="false" outlineLevel="0" collapsed="false">
      <c r="A153" s="21" t="s">
        <v>365</v>
      </c>
      <c r="B153" s="21" t="s">
        <v>365</v>
      </c>
      <c r="C153" s="5" t="s">
        <v>294</v>
      </c>
      <c r="D153" s="45" t="s">
        <v>254</v>
      </c>
      <c r="E153" s="5" t="s">
        <v>209</v>
      </c>
      <c r="F153" s="20" t="n">
        <v>4300</v>
      </c>
      <c r="G153" s="20"/>
      <c r="H153" s="20" t="n">
        <v>0</v>
      </c>
      <c r="I153" s="6" t="n">
        <v>473</v>
      </c>
      <c r="J153" s="21" t="s">
        <v>33</v>
      </c>
      <c r="K153" s="5" t="s">
        <v>207</v>
      </c>
    </row>
    <row r="154" customFormat="false" ht="15" hidden="false" customHeight="false" outlineLevel="0" collapsed="false">
      <c r="A154" s="25" t="s">
        <v>366</v>
      </c>
      <c r="B154" s="25" t="s">
        <v>367</v>
      </c>
      <c r="C154" s="23" t="s">
        <v>88</v>
      </c>
      <c r="D154" s="44" t="s">
        <v>205</v>
      </c>
      <c r="E154" s="23" t="s">
        <v>206</v>
      </c>
      <c r="F154" s="24" t="n">
        <v>1500</v>
      </c>
      <c r="G154" s="24" t="n">
        <v>133.7107</v>
      </c>
      <c r="H154" s="24" t="n">
        <v>0</v>
      </c>
      <c r="I154" s="27" t="n">
        <v>-200766.62</v>
      </c>
      <c r="J154" s="25" t="s">
        <v>33</v>
      </c>
      <c r="K154" s="23" t="s">
        <v>207</v>
      </c>
    </row>
    <row r="155" customFormat="false" ht="15" hidden="false" customHeight="false" outlineLevel="0" collapsed="false">
      <c r="A155" s="21" t="s">
        <v>368</v>
      </c>
      <c r="B155" s="21" t="s">
        <v>368</v>
      </c>
      <c r="C155" s="5" t="s">
        <v>280</v>
      </c>
      <c r="D155" s="45" t="s">
        <v>254</v>
      </c>
      <c r="E155" s="5" t="s">
        <v>209</v>
      </c>
      <c r="F155" s="20" t="n">
        <v>6200</v>
      </c>
      <c r="G155" s="20"/>
      <c r="H155" s="20" t="n">
        <v>0</v>
      </c>
      <c r="I155" s="6" t="n">
        <v>910.86</v>
      </c>
      <c r="J155" s="21" t="s">
        <v>33</v>
      </c>
      <c r="K155" s="5" t="s">
        <v>207</v>
      </c>
    </row>
    <row r="156" customFormat="false" ht="15" hidden="false" customHeight="false" outlineLevel="0" collapsed="false">
      <c r="A156" s="25" t="s">
        <v>369</v>
      </c>
      <c r="B156" s="25" t="s">
        <v>369</v>
      </c>
      <c r="C156" s="23" t="s">
        <v>294</v>
      </c>
      <c r="D156" s="45" t="s">
        <v>254</v>
      </c>
      <c r="E156" s="23" t="s">
        <v>209</v>
      </c>
      <c r="F156" s="24" t="n">
        <v>4300</v>
      </c>
      <c r="G156" s="24"/>
      <c r="H156" s="24" t="n">
        <v>0</v>
      </c>
      <c r="I156" s="27" t="n">
        <v>473</v>
      </c>
      <c r="J156" s="25" t="s">
        <v>33</v>
      </c>
      <c r="K156" s="23" t="s">
        <v>207</v>
      </c>
    </row>
    <row r="157" customFormat="false" ht="15" hidden="false" customHeight="false" outlineLevel="0" collapsed="false">
      <c r="A157" s="21" t="s">
        <v>370</v>
      </c>
      <c r="B157" s="21" t="s">
        <v>371</v>
      </c>
      <c r="C157" s="5" t="s">
        <v>280</v>
      </c>
      <c r="D157" s="45" t="s">
        <v>254</v>
      </c>
      <c r="E157" s="5" t="s">
        <v>206</v>
      </c>
      <c r="F157" s="20" t="n">
        <v>6200</v>
      </c>
      <c r="G157" s="20" t="n">
        <v>47.66564516</v>
      </c>
      <c r="H157" s="20" t="n">
        <v>0</v>
      </c>
      <c r="I157" s="6" t="n">
        <v>-295822.53</v>
      </c>
      <c r="J157" s="21" t="s">
        <v>33</v>
      </c>
      <c r="K157" s="5" t="s">
        <v>207</v>
      </c>
    </row>
    <row r="158" customFormat="false" ht="15" hidden="false" customHeight="false" outlineLevel="0" collapsed="false">
      <c r="A158" s="25" t="s">
        <v>370</v>
      </c>
      <c r="B158" s="25" t="s">
        <v>371</v>
      </c>
      <c r="C158" s="23" t="s">
        <v>295</v>
      </c>
      <c r="D158" s="45" t="s">
        <v>254</v>
      </c>
      <c r="E158" s="23" t="s">
        <v>206</v>
      </c>
      <c r="F158" s="24" t="n">
        <v>1000</v>
      </c>
      <c r="G158" s="24" t="n">
        <v>189.0475</v>
      </c>
      <c r="H158" s="24" t="n">
        <v>0</v>
      </c>
      <c r="I158" s="27" t="n">
        <v>-189236.55</v>
      </c>
      <c r="J158" s="25" t="s">
        <v>33</v>
      </c>
      <c r="K158" s="23" t="s">
        <v>207</v>
      </c>
    </row>
    <row r="159" customFormat="false" ht="15" hidden="false" customHeight="false" outlineLevel="0" collapsed="false">
      <c r="A159" s="21" t="s">
        <v>372</v>
      </c>
      <c r="B159" s="21" t="s">
        <v>372</v>
      </c>
      <c r="C159" s="5" t="s">
        <v>88</v>
      </c>
      <c r="D159" s="44" t="s">
        <v>205</v>
      </c>
      <c r="E159" s="5" t="s">
        <v>209</v>
      </c>
      <c r="F159" s="20" t="n">
        <v>500</v>
      </c>
      <c r="G159" s="20"/>
      <c r="H159" s="20" t="n">
        <v>0</v>
      </c>
      <c r="I159" s="6" t="n">
        <v>950</v>
      </c>
      <c r="J159" s="21" t="s">
        <v>33</v>
      </c>
      <c r="K159" s="5" t="s">
        <v>207</v>
      </c>
    </row>
    <row r="160" customFormat="false" ht="15" hidden="false" customHeight="false" outlineLevel="0" collapsed="false">
      <c r="A160" s="25" t="s">
        <v>372</v>
      </c>
      <c r="B160" s="25" t="s">
        <v>372</v>
      </c>
      <c r="C160" s="23" t="s">
        <v>294</v>
      </c>
      <c r="D160" s="45" t="s">
        <v>254</v>
      </c>
      <c r="E160" s="23" t="s">
        <v>209</v>
      </c>
      <c r="F160" s="24" t="n">
        <v>4300</v>
      </c>
      <c r="G160" s="24"/>
      <c r="H160" s="24" t="n">
        <v>0</v>
      </c>
      <c r="I160" s="27" t="n">
        <v>473</v>
      </c>
      <c r="J160" s="25" t="s">
        <v>33</v>
      </c>
      <c r="K160" s="23" t="s">
        <v>207</v>
      </c>
    </row>
    <row r="161" customFormat="false" ht="15" hidden="false" customHeight="false" outlineLevel="0" collapsed="false">
      <c r="A161" s="21" t="s">
        <v>373</v>
      </c>
      <c r="B161" s="21" t="s">
        <v>374</v>
      </c>
      <c r="C161" s="5" t="s">
        <v>294</v>
      </c>
      <c r="D161" s="45" t="s">
        <v>254</v>
      </c>
      <c r="E161" s="5" t="s">
        <v>375</v>
      </c>
      <c r="F161" s="20" t="n">
        <v>4300</v>
      </c>
      <c r="G161" s="20"/>
      <c r="H161" s="20" t="n">
        <v>0</v>
      </c>
      <c r="I161" s="6"/>
      <c r="J161" s="21"/>
      <c r="K161" s="5" t="s">
        <v>207</v>
      </c>
    </row>
    <row r="162" customFormat="false" ht="15" hidden="false" customHeight="false" outlineLevel="0" collapsed="false">
      <c r="A162" s="25" t="s">
        <v>373</v>
      </c>
      <c r="B162" s="25" t="s">
        <v>374</v>
      </c>
      <c r="C162" s="23" t="s">
        <v>294</v>
      </c>
      <c r="D162" s="45" t="s">
        <v>254</v>
      </c>
      <c r="E162" s="23" t="s">
        <v>376</v>
      </c>
      <c r="F162" s="24" t="n">
        <v>-4300</v>
      </c>
      <c r="G162" s="24"/>
      <c r="H162" s="24" t="n">
        <v>0</v>
      </c>
      <c r="I162" s="27"/>
      <c r="J162" s="25"/>
      <c r="K162" s="23" t="s">
        <v>207</v>
      </c>
    </row>
    <row r="163" customFormat="false" ht="15" hidden="false" customHeight="false" outlineLevel="0" collapsed="false">
      <c r="A163" s="21" t="s">
        <v>373</v>
      </c>
      <c r="B163" s="21" t="s">
        <v>374</v>
      </c>
      <c r="C163" s="5" t="s">
        <v>293</v>
      </c>
      <c r="D163" s="45" t="s">
        <v>254</v>
      </c>
      <c r="E163" s="5" t="s">
        <v>375</v>
      </c>
      <c r="F163" s="20" t="n">
        <v>430</v>
      </c>
      <c r="G163" s="20"/>
      <c r="H163" s="20" t="n">
        <v>0</v>
      </c>
      <c r="I163" s="6"/>
      <c r="J163" s="21"/>
      <c r="K163" s="5" t="s">
        <v>207</v>
      </c>
    </row>
    <row r="164" customFormat="false" ht="15" hidden="false" customHeight="false" outlineLevel="0" collapsed="false">
      <c r="A164" s="25" t="s">
        <v>377</v>
      </c>
      <c r="B164" s="25" t="s">
        <v>377</v>
      </c>
      <c r="C164" s="23" t="s">
        <v>322</v>
      </c>
      <c r="D164" s="45" t="s">
        <v>254</v>
      </c>
      <c r="E164" s="23" t="s">
        <v>209</v>
      </c>
      <c r="F164" s="24" t="n">
        <v>90</v>
      </c>
      <c r="G164" s="24"/>
      <c r="H164" s="24" t="n">
        <v>0</v>
      </c>
      <c r="I164" s="27" t="n">
        <v>533.92</v>
      </c>
      <c r="J164" s="25" t="s">
        <v>33</v>
      </c>
      <c r="K164" s="23" t="s">
        <v>207</v>
      </c>
    </row>
    <row r="165" customFormat="false" ht="15" hidden="false" customHeight="false" outlineLevel="0" collapsed="false">
      <c r="A165" s="21" t="s">
        <v>378</v>
      </c>
      <c r="B165" s="21" t="s">
        <v>378</v>
      </c>
      <c r="C165" s="5" t="s">
        <v>294</v>
      </c>
      <c r="D165" s="45" t="s">
        <v>254</v>
      </c>
      <c r="E165" s="5" t="s">
        <v>209</v>
      </c>
      <c r="F165" s="20" t="n">
        <v>4300</v>
      </c>
      <c r="G165" s="20"/>
      <c r="H165" s="20" t="n">
        <v>0</v>
      </c>
      <c r="I165" s="6" t="n">
        <v>473</v>
      </c>
      <c r="J165" s="21" t="s">
        <v>33</v>
      </c>
      <c r="K165" s="5" t="s">
        <v>207</v>
      </c>
    </row>
    <row r="166" customFormat="false" ht="15" hidden="false" customHeight="false" outlineLevel="0" collapsed="false">
      <c r="A166" s="25" t="s">
        <v>379</v>
      </c>
      <c r="B166" s="25" t="s">
        <v>380</v>
      </c>
      <c r="C166" s="23" t="s">
        <v>78</v>
      </c>
      <c r="D166" s="44" t="s">
        <v>205</v>
      </c>
      <c r="E166" s="23" t="s">
        <v>206</v>
      </c>
      <c r="F166" s="24" t="n">
        <v>-2250</v>
      </c>
      <c r="G166" s="24" t="n">
        <v>264.68542222</v>
      </c>
      <c r="H166" s="24" t="n">
        <v>0</v>
      </c>
      <c r="I166" s="27" t="n">
        <v>594946.66</v>
      </c>
      <c r="J166" s="25" t="s">
        <v>33</v>
      </c>
      <c r="K166" s="23" t="s">
        <v>207</v>
      </c>
    </row>
    <row r="167" customFormat="false" ht="15" hidden="false" customHeight="false" outlineLevel="0" collapsed="false">
      <c r="A167" s="21" t="s">
        <v>381</v>
      </c>
      <c r="B167" s="21" t="s">
        <v>381</v>
      </c>
      <c r="C167" s="5" t="s">
        <v>70</v>
      </c>
      <c r="D167" s="44" t="s">
        <v>205</v>
      </c>
      <c r="E167" s="5" t="s">
        <v>209</v>
      </c>
      <c r="F167" s="20" t="n">
        <v>1800</v>
      </c>
      <c r="G167" s="20"/>
      <c r="H167" s="20" t="n">
        <v>0</v>
      </c>
      <c r="I167" s="6" t="n">
        <v>1800</v>
      </c>
      <c r="J167" s="21" t="s">
        <v>33</v>
      </c>
      <c r="K167" s="5" t="s">
        <v>207</v>
      </c>
    </row>
    <row r="168" customFormat="false" ht="15" hidden="false" customHeight="false" outlineLevel="0" collapsed="false">
      <c r="A168" s="25" t="s">
        <v>382</v>
      </c>
      <c r="B168" s="25" t="s">
        <v>383</v>
      </c>
      <c r="C168" s="23" t="s">
        <v>384</v>
      </c>
      <c r="D168" s="44" t="s">
        <v>205</v>
      </c>
      <c r="E168" s="23" t="s">
        <v>206</v>
      </c>
      <c r="F168" s="24" t="n">
        <v>-230</v>
      </c>
      <c r="G168" s="24" t="n">
        <v>844.51913044</v>
      </c>
      <c r="H168" s="24" t="n">
        <v>0</v>
      </c>
      <c r="I168" s="27" t="n">
        <v>281714.76</v>
      </c>
      <c r="J168" s="25" t="s">
        <v>33</v>
      </c>
      <c r="K168" s="23" t="s">
        <v>207</v>
      </c>
    </row>
    <row r="169" customFormat="false" ht="15" hidden="false" customHeight="false" outlineLevel="0" collapsed="false">
      <c r="A169" s="21" t="s">
        <v>385</v>
      </c>
      <c r="B169" s="21" t="s">
        <v>385</v>
      </c>
      <c r="C169" s="5" t="s">
        <v>294</v>
      </c>
      <c r="D169" s="45" t="s">
        <v>254</v>
      </c>
      <c r="E169" s="5" t="s">
        <v>209</v>
      </c>
      <c r="F169" s="20" t="n">
        <v>4300</v>
      </c>
      <c r="G169" s="20"/>
      <c r="H169" s="20" t="n">
        <v>0</v>
      </c>
      <c r="I169" s="6" t="n">
        <v>473</v>
      </c>
      <c r="J169" s="21" t="s">
        <v>33</v>
      </c>
      <c r="K169" s="5" t="s">
        <v>207</v>
      </c>
    </row>
    <row r="170" customFormat="false" ht="15" hidden="false" customHeight="false" outlineLevel="0" collapsed="false">
      <c r="A170" s="25" t="s">
        <v>386</v>
      </c>
      <c r="B170" s="25" t="s">
        <v>386</v>
      </c>
      <c r="C170" s="23" t="s">
        <v>282</v>
      </c>
      <c r="D170" s="45" t="s">
        <v>254</v>
      </c>
      <c r="E170" s="23" t="s">
        <v>209</v>
      </c>
      <c r="F170" s="24" t="n">
        <v>7600</v>
      </c>
      <c r="G170" s="24"/>
      <c r="H170" s="24" t="n">
        <v>0</v>
      </c>
      <c r="I170" s="27" t="n">
        <v>6992</v>
      </c>
      <c r="J170" s="25" t="s">
        <v>33</v>
      </c>
      <c r="K170" s="23" t="s">
        <v>207</v>
      </c>
    </row>
    <row r="171" customFormat="false" ht="15" hidden="false" customHeight="false" outlineLevel="0" collapsed="false">
      <c r="A171" s="21" t="s">
        <v>387</v>
      </c>
      <c r="B171" s="21" t="s">
        <v>388</v>
      </c>
      <c r="C171" s="5" t="s">
        <v>76</v>
      </c>
      <c r="D171" s="45" t="s">
        <v>254</v>
      </c>
      <c r="E171" s="5" t="s">
        <v>206</v>
      </c>
      <c r="F171" s="20" t="n">
        <v>-950</v>
      </c>
      <c r="G171" s="20" t="n">
        <v>163.04</v>
      </c>
      <c r="H171" s="20" t="n">
        <v>0</v>
      </c>
      <c r="I171" s="6" t="n">
        <v>154733.11</v>
      </c>
      <c r="J171" s="21" t="s">
        <v>33</v>
      </c>
      <c r="K171" s="5" t="s">
        <v>207</v>
      </c>
    </row>
    <row r="172" customFormat="false" ht="15" hidden="false" customHeight="false" outlineLevel="0" collapsed="false">
      <c r="A172" s="25" t="s">
        <v>389</v>
      </c>
      <c r="B172" s="25" t="s">
        <v>389</v>
      </c>
      <c r="C172" s="23" t="s">
        <v>81</v>
      </c>
      <c r="D172" s="44" t="s">
        <v>205</v>
      </c>
      <c r="E172" s="23" t="s">
        <v>209</v>
      </c>
      <c r="F172" s="24" t="n">
        <v>1500</v>
      </c>
      <c r="G172" s="24"/>
      <c r="H172" s="24" t="n">
        <v>0</v>
      </c>
      <c r="I172" s="27" t="n">
        <v>4307.59</v>
      </c>
      <c r="J172" s="25" t="s">
        <v>33</v>
      </c>
      <c r="K172" s="23" t="s">
        <v>207</v>
      </c>
    </row>
    <row r="173" customFormat="false" ht="15" hidden="false" customHeight="false" outlineLevel="0" collapsed="false">
      <c r="A173" s="21" t="s">
        <v>390</v>
      </c>
      <c r="B173" s="21" t="s">
        <v>387</v>
      </c>
      <c r="C173" s="5" t="s">
        <v>391</v>
      </c>
      <c r="D173" s="45" t="s">
        <v>254</v>
      </c>
      <c r="E173" s="5" t="s">
        <v>206</v>
      </c>
      <c r="F173" s="20" t="n">
        <v>-445</v>
      </c>
      <c r="G173" s="20" t="n">
        <v>393.13550562</v>
      </c>
      <c r="H173" s="20" t="n">
        <v>0</v>
      </c>
      <c r="I173" s="6" t="n">
        <v>254220.97</v>
      </c>
      <c r="J173" s="21" t="s">
        <v>33</v>
      </c>
      <c r="K173" s="5" t="s">
        <v>207</v>
      </c>
    </row>
    <row r="174" customFormat="false" ht="15" hidden="false" customHeight="false" outlineLevel="0" collapsed="false">
      <c r="A174" s="25" t="s">
        <v>392</v>
      </c>
      <c r="B174" s="25" t="s">
        <v>392</v>
      </c>
      <c r="C174" s="23" t="s">
        <v>88</v>
      </c>
      <c r="D174" s="44" t="s">
        <v>205</v>
      </c>
      <c r="E174" s="23" t="s">
        <v>209</v>
      </c>
      <c r="F174" s="24" t="n">
        <v>500</v>
      </c>
      <c r="G174" s="24"/>
      <c r="H174" s="24" t="n">
        <v>0</v>
      </c>
      <c r="I174" s="27" t="n">
        <v>950</v>
      </c>
      <c r="J174" s="25" t="s">
        <v>33</v>
      </c>
      <c r="K174" s="23" t="s">
        <v>207</v>
      </c>
    </row>
    <row r="175" customFormat="false" ht="15" hidden="false" customHeight="false" outlineLevel="0" collapsed="false">
      <c r="A175" s="21" t="s">
        <v>392</v>
      </c>
      <c r="B175" s="21" t="s">
        <v>392</v>
      </c>
      <c r="C175" s="5" t="s">
        <v>272</v>
      </c>
      <c r="D175" s="45" t="s">
        <v>254</v>
      </c>
      <c r="E175" s="5" t="s">
        <v>209</v>
      </c>
      <c r="F175" s="20" t="n">
        <v>4800</v>
      </c>
      <c r="G175" s="20"/>
      <c r="H175" s="20" t="n">
        <v>0</v>
      </c>
      <c r="I175" s="6" t="n">
        <v>6000</v>
      </c>
      <c r="J175" s="21" t="s">
        <v>33</v>
      </c>
      <c r="K175" s="5" t="s">
        <v>207</v>
      </c>
    </row>
    <row r="176" customFormat="false" ht="15" hidden="false" customHeight="false" outlineLevel="0" collapsed="false">
      <c r="A176" s="25" t="s">
        <v>392</v>
      </c>
      <c r="B176" s="25" t="s">
        <v>392</v>
      </c>
      <c r="C176" s="23" t="s">
        <v>294</v>
      </c>
      <c r="D176" s="45" t="s">
        <v>254</v>
      </c>
      <c r="E176" s="23" t="s">
        <v>209</v>
      </c>
      <c r="F176" s="24" t="n">
        <v>4300</v>
      </c>
      <c r="G176" s="24"/>
      <c r="H176" s="24" t="n">
        <v>0</v>
      </c>
      <c r="I176" s="27" t="n">
        <v>473</v>
      </c>
      <c r="J176" s="25" t="s">
        <v>33</v>
      </c>
      <c r="K176" s="23" t="s">
        <v>207</v>
      </c>
    </row>
    <row r="177" customFormat="false" ht="15" hidden="false" customHeight="false" outlineLevel="0" collapsed="false">
      <c r="A177" s="21" t="s">
        <v>393</v>
      </c>
      <c r="B177" s="21" t="s">
        <v>394</v>
      </c>
      <c r="C177" s="5" t="s">
        <v>328</v>
      </c>
      <c r="D177" s="45" t="s">
        <v>254</v>
      </c>
      <c r="E177" s="5" t="s">
        <v>206</v>
      </c>
      <c r="F177" s="20" t="n">
        <v>190</v>
      </c>
      <c r="G177" s="20" t="n">
        <v>724.42342105</v>
      </c>
      <c r="H177" s="20" t="n">
        <v>0</v>
      </c>
      <c r="I177" s="6" t="n">
        <v>-197973.34</v>
      </c>
      <c r="J177" s="21" t="s">
        <v>33</v>
      </c>
      <c r="K177" s="5" t="s">
        <v>207</v>
      </c>
    </row>
    <row r="178" customFormat="false" ht="15" hidden="false" customHeight="false" outlineLevel="0" collapsed="false">
      <c r="A178" s="25" t="s">
        <v>395</v>
      </c>
      <c r="B178" s="25" t="s">
        <v>395</v>
      </c>
      <c r="C178" s="23" t="s">
        <v>322</v>
      </c>
      <c r="D178" s="45" t="s">
        <v>254</v>
      </c>
      <c r="E178" s="23" t="s">
        <v>209</v>
      </c>
      <c r="F178" s="24" t="n">
        <v>90</v>
      </c>
      <c r="G178" s="24"/>
      <c r="H178" s="24" t="n">
        <v>0</v>
      </c>
      <c r="I178" s="27" t="n">
        <v>509.32</v>
      </c>
      <c r="J178" s="25" t="s">
        <v>33</v>
      </c>
      <c r="K178" s="23" t="s">
        <v>207</v>
      </c>
    </row>
    <row r="179" customFormat="false" ht="15" hidden="false" customHeight="false" outlineLevel="0" collapsed="false">
      <c r="A179" s="21" t="s">
        <v>396</v>
      </c>
      <c r="B179" s="21" t="s">
        <v>396</v>
      </c>
      <c r="C179" s="5" t="s">
        <v>294</v>
      </c>
      <c r="D179" s="45" t="s">
        <v>254</v>
      </c>
      <c r="E179" s="5" t="s">
        <v>209</v>
      </c>
      <c r="F179" s="20" t="n">
        <v>4300</v>
      </c>
      <c r="G179" s="20"/>
      <c r="H179" s="20" t="n">
        <v>0</v>
      </c>
      <c r="I179" s="6" t="n">
        <v>473</v>
      </c>
      <c r="J179" s="21" t="s">
        <v>33</v>
      </c>
      <c r="K179" s="5" t="s">
        <v>207</v>
      </c>
    </row>
    <row r="180" customFormat="false" ht="15" hidden="false" customHeight="false" outlineLevel="0" collapsed="false">
      <c r="A180" s="25" t="s">
        <v>397</v>
      </c>
      <c r="B180" s="25" t="s">
        <v>398</v>
      </c>
      <c r="C180" s="23" t="s">
        <v>331</v>
      </c>
      <c r="D180" s="45" t="s">
        <v>254</v>
      </c>
      <c r="E180" s="23" t="s">
        <v>206</v>
      </c>
      <c r="F180" s="24" t="n">
        <v>3400</v>
      </c>
      <c r="G180" s="24" t="n">
        <v>43.7</v>
      </c>
      <c r="H180" s="24" t="n">
        <v>0</v>
      </c>
      <c r="I180" s="27" t="n">
        <v>-148728.58</v>
      </c>
      <c r="J180" s="25" t="s">
        <v>33</v>
      </c>
      <c r="K180" s="23" t="s">
        <v>207</v>
      </c>
    </row>
    <row r="181" customFormat="false" ht="15" hidden="false" customHeight="false" outlineLevel="0" collapsed="false">
      <c r="A181" s="21" t="s">
        <v>399</v>
      </c>
      <c r="B181" s="21" t="s">
        <v>397</v>
      </c>
      <c r="C181" s="5" t="s">
        <v>331</v>
      </c>
      <c r="D181" s="45" t="s">
        <v>254</v>
      </c>
      <c r="E181" s="5" t="s">
        <v>375</v>
      </c>
      <c r="F181" s="20" t="n">
        <v>320</v>
      </c>
      <c r="G181" s="20"/>
      <c r="H181" s="20" t="n">
        <v>0</v>
      </c>
      <c r="I181" s="6"/>
      <c r="J181" s="21"/>
      <c r="K181" s="5" t="s">
        <v>207</v>
      </c>
    </row>
    <row r="182" customFormat="false" ht="15" hidden="false" customHeight="false" outlineLevel="0" collapsed="false">
      <c r="A182" s="25" t="s">
        <v>399</v>
      </c>
      <c r="B182" s="25" t="s">
        <v>397</v>
      </c>
      <c r="C182" s="23" t="s">
        <v>327</v>
      </c>
      <c r="D182" s="45" t="s">
        <v>254</v>
      </c>
      <c r="E182" s="23" t="s">
        <v>375</v>
      </c>
      <c r="F182" s="24" t="n">
        <v>1600</v>
      </c>
      <c r="G182" s="24"/>
      <c r="H182" s="24" t="n">
        <v>0</v>
      </c>
      <c r="I182" s="27"/>
      <c r="J182" s="25"/>
      <c r="K182" s="23" t="s">
        <v>207</v>
      </c>
    </row>
    <row r="183" customFormat="false" ht="15" hidden="false" customHeight="false" outlineLevel="0" collapsed="false">
      <c r="A183" s="21" t="s">
        <v>399</v>
      </c>
      <c r="B183" s="21" t="s">
        <v>397</v>
      </c>
      <c r="C183" s="5" t="s">
        <v>327</v>
      </c>
      <c r="D183" s="45" t="s">
        <v>254</v>
      </c>
      <c r="E183" s="5" t="s">
        <v>376</v>
      </c>
      <c r="F183" s="20" t="n">
        <v>-1600</v>
      </c>
      <c r="G183" s="20"/>
      <c r="H183" s="20" t="n">
        <v>0</v>
      </c>
      <c r="I183" s="6"/>
      <c r="J183" s="21"/>
      <c r="K183" s="5" t="s">
        <v>207</v>
      </c>
    </row>
    <row r="184" customFormat="false" ht="15" hidden="false" customHeight="false" outlineLevel="0" collapsed="false">
      <c r="A184" s="25" t="s">
        <v>400</v>
      </c>
      <c r="B184" s="25" t="s">
        <v>401</v>
      </c>
      <c r="C184" s="23" t="s">
        <v>384</v>
      </c>
      <c r="D184" s="44" t="s">
        <v>205</v>
      </c>
      <c r="E184" s="23" t="s">
        <v>206</v>
      </c>
      <c r="F184" s="24" t="n">
        <v>230</v>
      </c>
      <c r="G184" s="24" t="n">
        <v>774.45</v>
      </c>
      <c r="H184" s="24" t="n">
        <v>0</v>
      </c>
      <c r="I184" s="27" t="n">
        <v>-253027.83</v>
      </c>
      <c r="J184" s="25" t="s">
        <v>33</v>
      </c>
      <c r="K184" s="23" t="s">
        <v>207</v>
      </c>
    </row>
    <row r="185" customFormat="false" ht="15" hidden="false" customHeight="false" outlineLevel="0" collapsed="false">
      <c r="A185" s="21" t="s">
        <v>402</v>
      </c>
      <c r="B185" s="21" t="s">
        <v>402</v>
      </c>
      <c r="C185" s="5" t="s">
        <v>294</v>
      </c>
      <c r="D185" s="45" t="s">
        <v>254</v>
      </c>
      <c r="E185" s="5" t="s">
        <v>209</v>
      </c>
      <c r="F185" s="20" t="n">
        <v>4300</v>
      </c>
      <c r="G185" s="20"/>
      <c r="H185" s="20" t="n">
        <v>0</v>
      </c>
      <c r="I185" s="6" t="n">
        <v>473</v>
      </c>
      <c r="J185" s="21" t="s">
        <v>33</v>
      </c>
      <c r="K185" s="5" t="s">
        <v>207</v>
      </c>
    </row>
    <row r="186" customFormat="false" ht="15" hidden="false" customHeight="false" outlineLevel="0" collapsed="false">
      <c r="A186" s="25" t="s">
        <v>403</v>
      </c>
      <c r="B186" s="25" t="s">
        <v>404</v>
      </c>
      <c r="C186" s="23" t="s">
        <v>330</v>
      </c>
      <c r="D186" s="45" t="s">
        <v>254</v>
      </c>
      <c r="E186" s="23" t="s">
        <v>405</v>
      </c>
      <c r="F186" s="24" t="n">
        <v>200</v>
      </c>
      <c r="G186" s="24"/>
      <c r="H186" s="24" t="n">
        <v>0</v>
      </c>
      <c r="I186" s="27" t="n">
        <v>0</v>
      </c>
      <c r="J186" s="25" t="s">
        <v>34</v>
      </c>
      <c r="K186" s="23" t="s">
        <v>207</v>
      </c>
    </row>
    <row r="187" customFormat="false" ht="15" hidden="false" customHeight="false" outlineLevel="0" collapsed="false">
      <c r="A187" s="21" t="s">
        <v>403</v>
      </c>
      <c r="B187" s="21" t="s">
        <v>404</v>
      </c>
      <c r="C187" s="5" t="s">
        <v>330</v>
      </c>
      <c r="D187" s="45" t="s">
        <v>254</v>
      </c>
      <c r="E187" s="5" t="s">
        <v>406</v>
      </c>
      <c r="F187" s="20" t="n">
        <v>-10</v>
      </c>
      <c r="G187" s="20"/>
      <c r="H187" s="20" t="n">
        <v>0</v>
      </c>
      <c r="I187" s="6" t="n">
        <v>0</v>
      </c>
      <c r="J187" s="21" t="s">
        <v>34</v>
      </c>
      <c r="K187" s="5" t="s">
        <v>207</v>
      </c>
    </row>
    <row r="188" customFormat="false" ht="15" hidden="false" customHeight="false" outlineLevel="0" collapsed="false">
      <c r="A188" s="25" t="s">
        <v>407</v>
      </c>
      <c r="B188" s="25" t="s">
        <v>408</v>
      </c>
      <c r="C188" s="23" t="s">
        <v>231</v>
      </c>
      <c r="D188" s="44" t="s">
        <v>205</v>
      </c>
      <c r="E188" s="23" t="s">
        <v>206</v>
      </c>
      <c r="F188" s="24" t="n">
        <v>570</v>
      </c>
      <c r="G188" s="24" t="n">
        <v>33.22791667</v>
      </c>
      <c r="H188" s="24" t="n">
        <v>0</v>
      </c>
      <c r="I188" s="27" t="n">
        <v>-202229.41</v>
      </c>
      <c r="J188" s="25" t="s">
        <v>33</v>
      </c>
      <c r="K188" s="23" t="s">
        <v>207</v>
      </c>
    </row>
    <row r="189" customFormat="false" ht="15" hidden="false" customHeight="false" outlineLevel="0" collapsed="false">
      <c r="A189" s="21" t="s">
        <v>409</v>
      </c>
      <c r="B189" s="21" t="s">
        <v>409</v>
      </c>
      <c r="C189" s="5" t="s">
        <v>88</v>
      </c>
      <c r="D189" s="44" t="s">
        <v>205</v>
      </c>
      <c r="E189" s="5" t="s">
        <v>209</v>
      </c>
      <c r="F189" s="20" t="n">
        <v>500</v>
      </c>
      <c r="G189" s="20"/>
      <c r="H189" s="20" t="n">
        <v>0</v>
      </c>
      <c r="I189" s="6" t="n">
        <v>950</v>
      </c>
      <c r="J189" s="21" t="s">
        <v>33</v>
      </c>
      <c r="K189" s="5" t="s">
        <v>207</v>
      </c>
    </row>
    <row r="190" customFormat="false" ht="15" hidden="false" customHeight="false" outlineLevel="0" collapsed="false">
      <c r="A190" s="25" t="s">
        <v>409</v>
      </c>
      <c r="B190" s="25" t="s">
        <v>409</v>
      </c>
      <c r="C190" s="23" t="s">
        <v>294</v>
      </c>
      <c r="D190" s="45" t="s">
        <v>254</v>
      </c>
      <c r="E190" s="23" t="s">
        <v>209</v>
      </c>
      <c r="F190" s="24" t="n">
        <v>4300</v>
      </c>
      <c r="G190" s="24"/>
      <c r="H190" s="24" t="n">
        <v>0</v>
      </c>
      <c r="I190" s="27" t="n">
        <v>473</v>
      </c>
      <c r="J190" s="25" t="s">
        <v>33</v>
      </c>
      <c r="K190" s="23" t="s">
        <v>207</v>
      </c>
    </row>
    <row r="191" customFormat="false" ht="15" hidden="false" customHeight="false" outlineLevel="0" collapsed="false">
      <c r="A191" s="21" t="s">
        <v>410</v>
      </c>
      <c r="B191" s="21" t="s">
        <v>410</v>
      </c>
      <c r="C191" s="5" t="s">
        <v>322</v>
      </c>
      <c r="D191" s="45" t="s">
        <v>254</v>
      </c>
      <c r="E191" s="5" t="s">
        <v>209</v>
      </c>
      <c r="F191" s="20" t="n">
        <v>90</v>
      </c>
      <c r="G191" s="20"/>
      <c r="H191" s="20" t="n">
        <v>0</v>
      </c>
      <c r="I191" s="6" t="n">
        <v>463.1</v>
      </c>
      <c r="J191" s="21" t="s">
        <v>33</v>
      </c>
      <c r="K191" s="5" t="s">
        <v>207</v>
      </c>
    </row>
    <row r="192" customFormat="false" ht="15" hidden="false" customHeight="false" outlineLevel="0" collapsed="false">
      <c r="A192" s="25" t="s">
        <v>411</v>
      </c>
      <c r="B192" s="25" t="s">
        <v>411</v>
      </c>
      <c r="C192" s="23" t="s">
        <v>294</v>
      </c>
      <c r="D192" s="45" t="s">
        <v>254</v>
      </c>
      <c r="E192" s="23" t="s">
        <v>209</v>
      </c>
      <c r="F192" s="24" t="n">
        <v>4300</v>
      </c>
      <c r="G192" s="24"/>
      <c r="H192" s="24" t="n">
        <v>0</v>
      </c>
      <c r="I192" s="27" t="n">
        <v>473</v>
      </c>
      <c r="J192" s="25" t="s">
        <v>33</v>
      </c>
      <c r="K192" s="23" t="s">
        <v>207</v>
      </c>
    </row>
    <row r="193" customFormat="false" ht="15" hidden="false" customHeight="false" outlineLevel="0" collapsed="false">
      <c r="A193" s="21" t="s">
        <v>412</v>
      </c>
      <c r="B193" s="21" t="s">
        <v>412</v>
      </c>
      <c r="C193" s="5" t="s">
        <v>325</v>
      </c>
      <c r="D193" s="45" t="s">
        <v>254</v>
      </c>
      <c r="E193" s="5" t="s">
        <v>209</v>
      </c>
      <c r="F193" s="20" t="n">
        <v>500</v>
      </c>
      <c r="G193" s="20"/>
      <c r="H193" s="20" t="n">
        <v>0</v>
      </c>
      <c r="I193" s="6" t="n">
        <v>13994.18</v>
      </c>
      <c r="J193" s="21" t="s">
        <v>33</v>
      </c>
      <c r="K193" s="5" t="s">
        <v>207</v>
      </c>
    </row>
    <row r="194" customFormat="false" ht="15" hidden="false" customHeight="false" outlineLevel="0" collapsed="false">
      <c r="A194" s="25" t="s">
        <v>413</v>
      </c>
      <c r="B194" s="25" t="s">
        <v>414</v>
      </c>
      <c r="C194" s="23" t="s">
        <v>415</v>
      </c>
      <c r="D194" s="44" t="s">
        <v>205</v>
      </c>
      <c r="E194" s="23" t="s">
        <v>405</v>
      </c>
      <c r="F194" s="24" t="n">
        <v>5550</v>
      </c>
      <c r="G194" s="24"/>
      <c r="H194" s="24" t="n">
        <v>0</v>
      </c>
      <c r="I194" s="27" t="n">
        <v>0</v>
      </c>
      <c r="J194" s="25" t="s">
        <v>33</v>
      </c>
      <c r="K194" s="23" t="s">
        <v>207</v>
      </c>
    </row>
    <row r="195" customFormat="false" ht="15" hidden="false" customHeight="false" outlineLevel="0" collapsed="false">
      <c r="A195" s="21" t="s">
        <v>413</v>
      </c>
      <c r="B195" s="21" t="s">
        <v>414</v>
      </c>
      <c r="C195" s="5" t="s">
        <v>416</v>
      </c>
      <c r="D195" s="44" t="s">
        <v>205</v>
      </c>
      <c r="E195" s="5" t="s">
        <v>406</v>
      </c>
      <c r="F195" s="20" t="n">
        <v>-925</v>
      </c>
      <c r="G195" s="20"/>
      <c r="H195" s="20" t="n">
        <v>0</v>
      </c>
      <c r="I195" s="6" t="n">
        <v>0</v>
      </c>
      <c r="J195" s="21" t="s">
        <v>33</v>
      </c>
      <c r="K195" s="5" t="s">
        <v>207</v>
      </c>
    </row>
    <row r="196" customFormat="false" ht="15" hidden="false" customHeight="false" outlineLevel="0" collapsed="false">
      <c r="A196" s="25" t="s">
        <v>417</v>
      </c>
      <c r="B196" s="25" t="s">
        <v>413</v>
      </c>
      <c r="C196" s="23" t="s">
        <v>292</v>
      </c>
      <c r="D196" s="45" t="s">
        <v>254</v>
      </c>
      <c r="E196" s="23" t="s">
        <v>206</v>
      </c>
      <c r="F196" s="24" t="n">
        <v>1520</v>
      </c>
      <c r="G196" s="24" t="n">
        <v>99.5</v>
      </c>
      <c r="H196" s="24" t="n">
        <v>0</v>
      </c>
      <c r="I196" s="27" t="n">
        <v>-151391.24</v>
      </c>
      <c r="J196" s="25" t="s">
        <v>33</v>
      </c>
      <c r="K196" s="23" t="s">
        <v>207</v>
      </c>
    </row>
    <row r="197" customFormat="false" ht="15" hidden="false" customHeight="false" outlineLevel="0" collapsed="false">
      <c r="A197" s="21" t="s">
        <v>417</v>
      </c>
      <c r="B197" s="21" t="s">
        <v>413</v>
      </c>
      <c r="C197" s="5" t="s">
        <v>295</v>
      </c>
      <c r="D197" s="45" t="s">
        <v>254</v>
      </c>
      <c r="E197" s="5" t="s">
        <v>206</v>
      </c>
      <c r="F197" s="20" t="n">
        <v>2000</v>
      </c>
      <c r="G197" s="20" t="n">
        <v>150.05</v>
      </c>
      <c r="H197" s="20" t="n">
        <v>0</v>
      </c>
      <c r="I197" s="6" t="n">
        <v>-300400.1</v>
      </c>
      <c r="J197" s="21" t="s">
        <v>33</v>
      </c>
      <c r="K197" s="5" t="s">
        <v>207</v>
      </c>
    </row>
    <row r="198" customFormat="false" ht="15" hidden="false" customHeight="false" outlineLevel="0" collapsed="false">
      <c r="A198" s="25" t="s">
        <v>418</v>
      </c>
      <c r="B198" s="25" t="s">
        <v>418</v>
      </c>
      <c r="C198" s="23" t="s">
        <v>70</v>
      </c>
      <c r="D198" s="44" t="s">
        <v>205</v>
      </c>
      <c r="E198" s="23" t="s">
        <v>209</v>
      </c>
      <c r="F198" s="24" t="n">
        <v>1800</v>
      </c>
      <c r="G198" s="24"/>
      <c r="H198" s="24" t="n">
        <v>0</v>
      </c>
      <c r="I198" s="27" t="n">
        <v>5400</v>
      </c>
      <c r="J198" s="25" t="s">
        <v>33</v>
      </c>
      <c r="K198" s="23" t="s">
        <v>207</v>
      </c>
    </row>
    <row r="199" customFormat="false" ht="15" hidden="false" customHeight="false" outlineLevel="0" collapsed="false">
      <c r="A199" s="21" t="s">
        <v>419</v>
      </c>
      <c r="B199" s="21" t="s">
        <v>419</v>
      </c>
      <c r="C199" s="5" t="s">
        <v>288</v>
      </c>
      <c r="D199" s="45" t="s">
        <v>254</v>
      </c>
      <c r="E199" s="5" t="s">
        <v>209</v>
      </c>
      <c r="F199" s="20" t="n">
        <v>50</v>
      </c>
      <c r="G199" s="20"/>
      <c r="H199" s="20" t="n">
        <v>0</v>
      </c>
      <c r="I199" s="6" t="n">
        <v>1000</v>
      </c>
      <c r="J199" s="21" t="s">
        <v>33</v>
      </c>
      <c r="K199" s="5" t="s">
        <v>207</v>
      </c>
    </row>
    <row r="200" customFormat="false" ht="15" hidden="false" customHeight="false" outlineLevel="0" collapsed="false">
      <c r="A200" s="25" t="s">
        <v>419</v>
      </c>
      <c r="B200" s="25" t="s">
        <v>419</v>
      </c>
      <c r="C200" s="23" t="s">
        <v>282</v>
      </c>
      <c r="D200" s="45" t="s">
        <v>254</v>
      </c>
      <c r="E200" s="23" t="s">
        <v>209</v>
      </c>
      <c r="F200" s="24" t="n">
        <v>7600</v>
      </c>
      <c r="G200" s="24"/>
      <c r="H200" s="24" t="n">
        <v>0</v>
      </c>
      <c r="I200" s="27" t="n">
        <v>9956</v>
      </c>
      <c r="J200" s="25" t="s">
        <v>33</v>
      </c>
      <c r="K200" s="23" t="s">
        <v>207</v>
      </c>
    </row>
    <row r="201" customFormat="false" ht="15" hidden="false" customHeight="false" outlineLevel="0" collapsed="false">
      <c r="A201" s="21" t="s">
        <v>420</v>
      </c>
      <c r="B201" s="21" t="s">
        <v>420</v>
      </c>
      <c r="C201" s="5" t="s">
        <v>294</v>
      </c>
      <c r="D201" s="45" t="s">
        <v>254</v>
      </c>
      <c r="E201" s="5" t="s">
        <v>209</v>
      </c>
      <c r="F201" s="20" t="n">
        <v>4300</v>
      </c>
      <c r="G201" s="20"/>
      <c r="H201" s="20" t="n">
        <v>0</v>
      </c>
      <c r="I201" s="6" t="n">
        <v>473</v>
      </c>
      <c r="J201" s="21" t="s">
        <v>33</v>
      </c>
      <c r="K201" s="5" t="s">
        <v>207</v>
      </c>
    </row>
    <row r="202" customFormat="false" ht="15" hidden="false" customHeight="false" outlineLevel="0" collapsed="false">
      <c r="A202" s="25" t="s">
        <v>420</v>
      </c>
      <c r="B202" s="25" t="s">
        <v>420</v>
      </c>
      <c r="C202" s="23" t="s">
        <v>327</v>
      </c>
      <c r="D202" s="45" t="s">
        <v>254</v>
      </c>
      <c r="E202" s="23" t="s">
        <v>209</v>
      </c>
      <c r="F202" s="24" t="n">
        <v>1600</v>
      </c>
      <c r="G202" s="24"/>
      <c r="H202" s="24" t="n">
        <v>0</v>
      </c>
      <c r="I202" s="27" t="n">
        <v>7600</v>
      </c>
      <c r="J202" s="25" t="s">
        <v>33</v>
      </c>
      <c r="K202" s="23" t="s">
        <v>207</v>
      </c>
    </row>
    <row r="203" customFormat="false" ht="15" hidden="false" customHeight="false" outlineLevel="0" collapsed="false">
      <c r="A203" s="21" t="s">
        <v>421</v>
      </c>
      <c r="B203" s="21" t="s">
        <v>420</v>
      </c>
      <c r="C203" s="5" t="s">
        <v>81</v>
      </c>
      <c r="D203" s="44" t="s">
        <v>205</v>
      </c>
      <c r="E203" s="5" t="s">
        <v>206</v>
      </c>
      <c r="F203" s="20" t="n">
        <v>500</v>
      </c>
      <c r="G203" s="20" t="n">
        <v>40.78</v>
      </c>
      <c r="H203" s="20" t="n">
        <v>0</v>
      </c>
      <c r="I203" s="6" t="n">
        <v>-213741.69</v>
      </c>
      <c r="J203" s="21" t="s">
        <v>33</v>
      </c>
      <c r="K203" s="5" t="s">
        <v>207</v>
      </c>
    </row>
    <row r="204" customFormat="false" ht="15" hidden="false" customHeight="false" outlineLevel="0" collapsed="false">
      <c r="A204" s="25" t="s">
        <v>422</v>
      </c>
      <c r="B204" s="25" t="s">
        <v>422</v>
      </c>
      <c r="C204" s="23" t="s">
        <v>78</v>
      </c>
      <c r="D204" s="44" t="s">
        <v>205</v>
      </c>
      <c r="E204" s="23" t="s">
        <v>209</v>
      </c>
      <c r="F204" s="24" t="n">
        <v>4500</v>
      </c>
      <c r="G204" s="24"/>
      <c r="H204" s="24" t="n">
        <v>0</v>
      </c>
      <c r="I204" s="27" t="n">
        <v>30375</v>
      </c>
      <c r="J204" s="25" t="s">
        <v>33</v>
      </c>
      <c r="K204" s="23" t="s">
        <v>207</v>
      </c>
    </row>
    <row r="205" customFormat="false" ht="15" hidden="false" customHeight="false" outlineLevel="0" collapsed="false">
      <c r="A205" s="21" t="s">
        <v>423</v>
      </c>
      <c r="B205" s="21" t="s">
        <v>422</v>
      </c>
      <c r="C205" s="5" t="s">
        <v>272</v>
      </c>
      <c r="D205" s="45" t="s">
        <v>254</v>
      </c>
      <c r="E205" s="5" t="s">
        <v>206</v>
      </c>
      <c r="F205" s="20" t="n">
        <v>1800</v>
      </c>
      <c r="G205" s="20" t="n">
        <v>82.44987222</v>
      </c>
      <c r="H205" s="20" t="n">
        <v>0</v>
      </c>
      <c r="I205" s="6" t="n">
        <v>-148558.18</v>
      </c>
      <c r="J205" s="21" t="s">
        <v>33</v>
      </c>
      <c r="K205" s="5" t="s">
        <v>207</v>
      </c>
    </row>
    <row r="206" customFormat="false" ht="15" hidden="false" customHeight="false" outlineLevel="0" collapsed="false">
      <c r="A206" s="25" t="s">
        <v>423</v>
      </c>
      <c r="B206" s="25" t="s">
        <v>422</v>
      </c>
      <c r="C206" s="23" t="s">
        <v>292</v>
      </c>
      <c r="D206" s="45" t="s">
        <v>254</v>
      </c>
      <c r="E206" s="23" t="s">
        <v>206</v>
      </c>
      <c r="F206" s="24" t="n">
        <v>1580</v>
      </c>
      <c r="G206" s="24" t="n">
        <v>95.3</v>
      </c>
      <c r="H206" s="24" t="n">
        <v>0</v>
      </c>
      <c r="I206" s="27" t="n">
        <v>-150724.57</v>
      </c>
      <c r="J206" s="25" t="s">
        <v>33</v>
      </c>
      <c r="K206" s="23" t="s">
        <v>207</v>
      </c>
    </row>
    <row r="207" customFormat="false" ht="15" hidden="false" customHeight="false" outlineLevel="0" collapsed="false">
      <c r="A207" s="21" t="s">
        <v>423</v>
      </c>
      <c r="B207" s="21" t="s">
        <v>422</v>
      </c>
      <c r="C207" s="5" t="s">
        <v>391</v>
      </c>
      <c r="D207" s="45" t="s">
        <v>254</v>
      </c>
      <c r="E207" s="5" t="s">
        <v>206</v>
      </c>
      <c r="F207" s="20" t="n">
        <v>445</v>
      </c>
      <c r="G207" s="20" t="n">
        <v>323.62</v>
      </c>
      <c r="H207" s="20" t="n">
        <v>0</v>
      </c>
      <c r="I207" s="6" t="n">
        <v>-202220.51</v>
      </c>
      <c r="J207" s="21" t="s">
        <v>33</v>
      </c>
      <c r="K207" s="5" t="s">
        <v>207</v>
      </c>
    </row>
    <row r="208" customFormat="false" ht="15" hidden="false" customHeight="false" outlineLevel="0" collapsed="false">
      <c r="A208" s="25" t="s">
        <v>423</v>
      </c>
      <c r="B208" s="25" t="s">
        <v>422</v>
      </c>
      <c r="C208" s="23" t="s">
        <v>317</v>
      </c>
      <c r="D208" s="45" t="s">
        <v>254</v>
      </c>
      <c r="E208" s="23" t="s">
        <v>206</v>
      </c>
      <c r="F208" s="24" t="n">
        <v>1400</v>
      </c>
      <c r="G208" s="24" t="n">
        <v>108.5</v>
      </c>
      <c r="H208" s="24" t="n">
        <v>0</v>
      </c>
      <c r="I208" s="27" t="n">
        <v>-152051.9</v>
      </c>
      <c r="J208" s="25" t="s">
        <v>33</v>
      </c>
      <c r="K208" s="23" t="s">
        <v>207</v>
      </c>
    </row>
    <row r="209" customFormat="false" ht="15" hidden="false" customHeight="false" outlineLevel="0" collapsed="false">
      <c r="A209" s="21" t="s">
        <v>423</v>
      </c>
      <c r="B209" s="21" t="s">
        <v>422</v>
      </c>
      <c r="C209" s="5" t="s">
        <v>76</v>
      </c>
      <c r="D209" s="45" t="s">
        <v>254</v>
      </c>
      <c r="E209" s="5" t="s">
        <v>206</v>
      </c>
      <c r="F209" s="20" t="n">
        <v>950</v>
      </c>
      <c r="G209" s="20" t="n">
        <v>159.09765263</v>
      </c>
      <c r="H209" s="20" t="n">
        <v>0</v>
      </c>
      <c r="I209" s="6" t="n">
        <v>-151293.91</v>
      </c>
      <c r="J209" s="21" t="s">
        <v>33</v>
      </c>
      <c r="K209" s="5" t="s">
        <v>207</v>
      </c>
    </row>
    <row r="210" customFormat="false" ht="15" hidden="false" customHeight="false" outlineLevel="0" collapsed="false">
      <c r="A210" s="25" t="s">
        <v>424</v>
      </c>
      <c r="B210" s="25" t="s">
        <v>424</v>
      </c>
      <c r="C210" s="23" t="s">
        <v>425</v>
      </c>
      <c r="D210" s="45" t="s">
        <v>254</v>
      </c>
      <c r="E210" s="23" t="s">
        <v>426</v>
      </c>
      <c r="F210" s="24" t="n">
        <v>-300</v>
      </c>
      <c r="G210" s="24"/>
      <c r="H210" s="24" t="n">
        <v>0</v>
      </c>
      <c r="I210" s="27" t="n">
        <v>0</v>
      </c>
      <c r="J210" s="25" t="s">
        <v>33</v>
      </c>
      <c r="K210" s="23" t="s">
        <v>207</v>
      </c>
    </row>
    <row r="211" customFormat="false" ht="15" hidden="false" customHeight="false" outlineLevel="0" collapsed="false">
      <c r="A211" s="21" t="s">
        <v>427</v>
      </c>
      <c r="B211" s="21" t="s">
        <v>427</v>
      </c>
      <c r="C211" s="5" t="s">
        <v>428</v>
      </c>
      <c r="D211" s="45" t="s">
        <v>254</v>
      </c>
      <c r="E211" s="5" t="s">
        <v>209</v>
      </c>
      <c r="F211" s="20" t="n">
        <v>1500</v>
      </c>
      <c r="G211" s="20"/>
      <c r="H211" s="20" t="n">
        <v>0</v>
      </c>
      <c r="I211" s="6" t="n">
        <v>1500</v>
      </c>
      <c r="J211" s="21" t="s">
        <v>33</v>
      </c>
      <c r="K211" s="5" t="s">
        <v>207</v>
      </c>
    </row>
    <row r="212" customFormat="false" ht="15" hidden="false" customHeight="false" outlineLevel="0" collapsed="false">
      <c r="A212" s="25" t="s">
        <v>429</v>
      </c>
      <c r="B212" s="25" t="s">
        <v>427</v>
      </c>
      <c r="C212" s="23" t="s">
        <v>428</v>
      </c>
      <c r="D212" s="45" t="s">
        <v>254</v>
      </c>
      <c r="E212" s="23" t="s">
        <v>239</v>
      </c>
      <c r="F212" s="24" t="n">
        <v>-1500</v>
      </c>
      <c r="G212" s="24" t="n">
        <v>38.65</v>
      </c>
      <c r="H212" s="24" t="n">
        <v>0</v>
      </c>
      <c r="I212" s="27" t="n">
        <v>57896</v>
      </c>
      <c r="J212" s="25" t="s">
        <v>33</v>
      </c>
      <c r="K212" s="23" t="s">
        <v>207</v>
      </c>
    </row>
    <row r="213" customFormat="false" ht="15" hidden="false" customHeight="false" outlineLevel="0" collapsed="false">
      <c r="A213" s="21" t="s">
        <v>430</v>
      </c>
      <c r="B213" s="21" t="s">
        <v>430</v>
      </c>
      <c r="C213" s="5" t="s">
        <v>81</v>
      </c>
      <c r="D213" s="44" t="s">
        <v>205</v>
      </c>
      <c r="E213" s="5" t="s">
        <v>209</v>
      </c>
      <c r="F213" s="20" t="n">
        <v>1000</v>
      </c>
      <c r="G213" s="20"/>
      <c r="H213" s="20" t="n">
        <v>0</v>
      </c>
      <c r="I213" s="6" t="n">
        <v>2727.52</v>
      </c>
      <c r="J213" s="21" t="s">
        <v>33</v>
      </c>
      <c r="K213" s="5" t="s">
        <v>207</v>
      </c>
    </row>
    <row r="214" customFormat="false" ht="15" hidden="false" customHeight="false" outlineLevel="0" collapsed="false">
      <c r="A214" s="25" t="s">
        <v>431</v>
      </c>
      <c r="B214" s="25" t="s">
        <v>431</v>
      </c>
      <c r="C214" s="23" t="s">
        <v>88</v>
      </c>
      <c r="D214" s="44" t="s">
        <v>205</v>
      </c>
      <c r="E214" s="23" t="s">
        <v>209</v>
      </c>
      <c r="F214" s="24" t="n">
        <v>500</v>
      </c>
      <c r="G214" s="24"/>
      <c r="H214" s="24" t="n">
        <v>0</v>
      </c>
      <c r="I214" s="27" t="n">
        <v>950</v>
      </c>
      <c r="J214" s="25" t="s">
        <v>33</v>
      </c>
      <c r="K214" s="23" t="s">
        <v>207</v>
      </c>
    </row>
    <row r="215" customFormat="false" ht="15" hidden="false" customHeight="false" outlineLevel="0" collapsed="false">
      <c r="A215" s="21" t="s">
        <v>431</v>
      </c>
      <c r="B215" s="21" t="s">
        <v>431</v>
      </c>
      <c r="C215" s="5" t="s">
        <v>425</v>
      </c>
      <c r="D215" s="45" t="s">
        <v>254</v>
      </c>
      <c r="E215" s="5" t="s">
        <v>351</v>
      </c>
      <c r="F215" s="20" t="n">
        <v>300</v>
      </c>
      <c r="G215" s="20"/>
      <c r="H215" s="20" t="n">
        <v>0</v>
      </c>
      <c r="I215" s="6" t="n">
        <v>0</v>
      </c>
      <c r="J215" s="21" t="s">
        <v>33</v>
      </c>
      <c r="K215" s="5" t="s">
        <v>207</v>
      </c>
    </row>
    <row r="216" customFormat="false" ht="15" hidden="false" customHeight="false" outlineLevel="0" collapsed="false">
      <c r="A216" s="25" t="s">
        <v>432</v>
      </c>
      <c r="B216" s="25" t="s">
        <v>432</v>
      </c>
      <c r="C216" s="23" t="s">
        <v>272</v>
      </c>
      <c r="D216" s="45" t="s">
        <v>254</v>
      </c>
      <c r="E216" s="23" t="s">
        <v>209</v>
      </c>
      <c r="F216" s="24" t="n">
        <v>3000</v>
      </c>
      <c r="G216" s="24"/>
      <c r="H216" s="24" t="n">
        <v>0</v>
      </c>
      <c r="I216" s="27" t="n">
        <v>3750</v>
      </c>
      <c r="J216" s="25" t="s">
        <v>33</v>
      </c>
      <c r="K216" s="23" t="s">
        <v>207</v>
      </c>
    </row>
    <row r="217" customFormat="false" ht="15" hidden="false" customHeight="false" outlineLevel="0" collapsed="false">
      <c r="A217" s="21" t="s">
        <v>432</v>
      </c>
      <c r="B217" s="21" t="s">
        <v>432</v>
      </c>
      <c r="C217" s="5" t="s">
        <v>294</v>
      </c>
      <c r="D217" s="45" t="s">
        <v>254</v>
      </c>
      <c r="E217" s="5" t="s">
        <v>209</v>
      </c>
      <c r="F217" s="20" t="n">
        <v>4300</v>
      </c>
      <c r="G217" s="20"/>
      <c r="H217" s="20" t="n">
        <v>0</v>
      </c>
      <c r="I217" s="6" t="n">
        <v>1075</v>
      </c>
      <c r="J217" s="21" t="s">
        <v>33</v>
      </c>
      <c r="K217" s="5" t="s">
        <v>207</v>
      </c>
    </row>
    <row r="218" customFormat="false" ht="15" hidden="false" customHeight="false" outlineLevel="0" collapsed="false">
      <c r="A218" s="25" t="s">
        <v>433</v>
      </c>
      <c r="B218" s="25" t="s">
        <v>434</v>
      </c>
      <c r="C218" s="23" t="s">
        <v>425</v>
      </c>
      <c r="D218" s="45" t="s">
        <v>254</v>
      </c>
      <c r="E218" s="23" t="s">
        <v>435</v>
      </c>
      <c r="F218" s="24" t="n">
        <v>-300</v>
      </c>
      <c r="G218" s="24" t="n">
        <v>346.32</v>
      </c>
      <c r="H218" s="24" t="n">
        <v>0</v>
      </c>
      <c r="I218" s="27" t="n">
        <v>103896</v>
      </c>
      <c r="J218" s="25" t="s">
        <v>33</v>
      </c>
      <c r="K218" s="23" t="s">
        <v>207</v>
      </c>
    </row>
    <row r="219" customFormat="false" ht="15" hidden="false" customHeight="false" outlineLevel="0" collapsed="false">
      <c r="A219" s="21" t="s">
        <v>436</v>
      </c>
      <c r="B219" s="21" t="s">
        <v>436</v>
      </c>
      <c r="C219" s="5" t="s">
        <v>329</v>
      </c>
      <c r="D219" s="45" t="s">
        <v>254</v>
      </c>
      <c r="E219" s="5" t="s">
        <v>209</v>
      </c>
      <c r="F219" s="20" t="n">
        <v>300</v>
      </c>
      <c r="G219" s="20"/>
      <c r="H219" s="20" t="n">
        <v>0</v>
      </c>
      <c r="I219" s="6" t="n">
        <v>2100</v>
      </c>
      <c r="J219" s="21" t="s">
        <v>33</v>
      </c>
      <c r="K219" s="5" t="s">
        <v>207</v>
      </c>
    </row>
    <row r="220" customFormat="false" ht="15" hidden="false" customHeight="false" outlineLevel="0" collapsed="false">
      <c r="A220" s="25" t="s">
        <v>437</v>
      </c>
      <c r="B220" s="25" t="s">
        <v>437</v>
      </c>
      <c r="C220" s="23" t="s">
        <v>322</v>
      </c>
      <c r="D220" s="45" t="s">
        <v>254</v>
      </c>
      <c r="E220" s="23" t="s">
        <v>209</v>
      </c>
      <c r="F220" s="24" t="n">
        <v>90</v>
      </c>
      <c r="G220" s="24"/>
      <c r="H220" s="24" t="n">
        <v>0</v>
      </c>
      <c r="I220" s="27" t="n">
        <v>471.89</v>
      </c>
      <c r="J220" s="25" t="s">
        <v>33</v>
      </c>
      <c r="K220" s="23" t="s">
        <v>207</v>
      </c>
    </row>
    <row r="221" customFormat="false" ht="15" hidden="false" customHeight="false" outlineLevel="0" collapsed="false">
      <c r="A221" s="21" t="s">
        <v>438</v>
      </c>
      <c r="B221" s="21" t="s">
        <v>439</v>
      </c>
      <c r="C221" s="5" t="s">
        <v>78</v>
      </c>
      <c r="D221" s="44" t="s">
        <v>205</v>
      </c>
      <c r="E221" s="5" t="s">
        <v>206</v>
      </c>
      <c r="F221" s="20" t="n">
        <v>-4500</v>
      </c>
      <c r="G221" s="20" t="n">
        <v>251.37751111</v>
      </c>
      <c r="H221" s="20" t="n">
        <v>0</v>
      </c>
      <c r="I221" s="6" t="n">
        <v>1130067.6</v>
      </c>
      <c r="J221" s="21" t="s">
        <v>33</v>
      </c>
      <c r="K221" s="5" t="s">
        <v>207</v>
      </c>
    </row>
    <row r="222" customFormat="false" ht="15" hidden="false" customHeight="false" outlineLevel="0" collapsed="false">
      <c r="A222" s="25" t="s">
        <v>440</v>
      </c>
      <c r="B222" s="25" t="s">
        <v>441</v>
      </c>
      <c r="C222" s="23" t="s">
        <v>272</v>
      </c>
      <c r="D222" s="45" t="s">
        <v>254</v>
      </c>
      <c r="E222" s="23" t="s">
        <v>206</v>
      </c>
      <c r="F222" s="24" t="n">
        <v>1000</v>
      </c>
      <c r="G222" s="24" t="n">
        <v>99.52</v>
      </c>
      <c r="H222" s="24" t="n">
        <v>0</v>
      </c>
      <c r="I222" s="27" t="n">
        <v>-99620</v>
      </c>
      <c r="J222" s="25" t="s">
        <v>33</v>
      </c>
      <c r="K222" s="23" t="s">
        <v>207</v>
      </c>
    </row>
    <row r="223" customFormat="false" ht="15" hidden="false" customHeight="false" outlineLevel="0" collapsed="false">
      <c r="A223" s="21" t="s">
        <v>440</v>
      </c>
      <c r="B223" s="21" t="s">
        <v>441</v>
      </c>
      <c r="C223" s="5" t="s">
        <v>90</v>
      </c>
      <c r="D223" s="44" t="s">
        <v>205</v>
      </c>
      <c r="E223" s="5" t="s">
        <v>206</v>
      </c>
      <c r="F223" s="20" t="n">
        <v>2100</v>
      </c>
      <c r="G223" s="20" t="n">
        <v>90.9</v>
      </c>
      <c r="H223" s="20" t="n">
        <v>0</v>
      </c>
      <c r="I223" s="6" t="n">
        <v>-191080.89</v>
      </c>
      <c r="J223" s="21" t="s">
        <v>33</v>
      </c>
      <c r="K223" s="5" t="s">
        <v>207</v>
      </c>
    </row>
    <row r="224" customFormat="false" ht="15" hidden="false" customHeight="false" outlineLevel="0" collapsed="false">
      <c r="A224" s="25" t="s">
        <v>442</v>
      </c>
      <c r="B224" s="25" t="s">
        <v>443</v>
      </c>
      <c r="C224" s="23" t="s">
        <v>294</v>
      </c>
      <c r="D224" s="45" t="s">
        <v>254</v>
      </c>
      <c r="E224" s="23" t="s">
        <v>206</v>
      </c>
      <c r="F224" s="24" t="n">
        <v>4300</v>
      </c>
      <c r="G224" s="24" t="n">
        <v>46.23121047</v>
      </c>
      <c r="H224" s="24" t="n">
        <v>0</v>
      </c>
      <c r="I224" s="27" t="n">
        <v>-198993</v>
      </c>
      <c r="J224" s="25" t="s">
        <v>33</v>
      </c>
      <c r="K224" s="23" t="s">
        <v>207</v>
      </c>
    </row>
    <row r="225" customFormat="false" ht="15" hidden="false" customHeight="false" outlineLevel="0" collapsed="false">
      <c r="A225" s="21" t="s">
        <v>444</v>
      </c>
      <c r="B225" s="21" t="s">
        <v>444</v>
      </c>
      <c r="C225" s="5" t="s">
        <v>322</v>
      </c>
      <c r="D225" s="45" t="s">
        <v>254</v>
      </c>
      <c r="E225" s="5" t="s">
        <v>209</v>
      </c>
      <c r="F225" s="20" t="n">
        <v>90</v>
      </c>
      <c r="G225" s="20"/>
      <c r="H225" s="20" t="n">
        <v>0</v>
      </c>
      <c r="I225" s="6" t="n">
        <v>428.19</v>
      </c>
      <c r="J225" s="21" t="s">
        <v>33</v>
      </c>
      <c r="K225" s="5" t="s">
        <v>207</v>
      </c>
    </row>
    <row r="226" customFormat="false" ht="15" hidden="false" customHeight="false" outlineLevel="0" collapsed="false">
      <c r="A226" s="25" t="s">
        <v>445</v>
      </c>
      <c r="B226" s="25" t="s">
        <v>446</v>
      </c>
      <c r="C226" s="23" t="s">
        <v>326</v>
      </c>
      <c r="D226" s="45" t="s">
        <v>254</v>
      </c>
      <c r="E226" s="23" t="s">
        <v>375</v>
      </c>
      <c r="F226" s="24" t="n">
        <v>760</v>
      </c>
      <c r="G226" s="24"/>
      <c r="H226" s="24" t="n">
        <v>0</v>
      </c>
      <c r="I226" s="27"/>
      <c r="J226" s="25"/>
      <c r="K226" s="23" t="s">
        <v>207</v>
      </c>
    </row>
    <row r="227" customFormat="false" ht="15" hidden="false" customHeight="false" outlineLevel="0" collapsed="false">
      <c r="A227" s="21" t="s">
        <v>445</v>
      </c>
      <c r="B227" s="21" t="s">
        <v>446</v>
      </c>
      <c r="C227" s="5" t="s">
        <v>282</v>
      </c>
      <c r="D227" s="45" t="s">
        <v>254</v>
      </c>
      <c r="E227" s="5" t="s">
        <v>376</v>
      </c>
      <c r="F227" s="20" t="n">
        <v>-7600</v>
      </c>
      <c r="G227" s="20"/>
      <c r="H227" s="20" t="n">
        <v>0</v>
      </c>
      <c r="I227" s="6"/>
      <c r="J227" s="21"/>
      <c r="K227" s="5" t="s">
        <v>207</v>
      </c>
    </row>
    <row r="228" customFormat="false" ht="15" hidden="false" customHeight="false" outlineLevel="0" collapsed="false">
      <c r="A228" s="25" t="s">
        <v>445</v>
      </c>
      <c r="B228" s="25" t="s">
        <v>446</v>
      </c>
      <c r="C228" s="23" t="s">
        <v>282</v>
      </c>
      <c r="D228" s="45" t="s">
        <v>254</v>
      </c>
      <c r="E228" s="23" t="s">
        <v>375</v>
      </c>
      <c r="F228" s="24" t="n">
        <v>7600</v>
      </c>
      <c r="G228" s="24"/>
      <c r="H228" s="24" t="n">
        <v>0</v>
      </c>
      <c r="I228" s="27"/>
      <c r="J228" s="25"/>
      <c r="K228" s="23" t="s">
        <v>207</v>
      </c>
    </row>
    <row r="229" customFormat="false" ht="15" hidden="false" customHeight="false" outlineLevel="0" collapsed="false">
      <c r="A229" s="21" t="s">
        <v>447</v>
      </c>
      <c r="B229" s="21" t="s">
        <v>448</v>
      </c>
      <c r="C229" s="5" t="s">
        <v>272</v>
      </c>
      <c r="D229" s="45" t="s">
        <v>254</v>
      </c>
      <c r="E229" s="5" t="s">
        <v>206</v>
      </c>
      <c r="F229" s="20" t="n">
        <v>2000</v>
      </c>
      <c r="G229" s="20" t="n">
        <v>94.749815</v>
      </c>
      <c r="H229" s="20" t="n">
        <v>0</v>
      </c>
      <c r="I229" s="6" t="n">
        <v>-189689.13</v>
      </c>
      <c r="J229" s="21" t="s">
        <v>33</v>
      </c>
      <c r="K229" s="5" t="s">
        <v>207</v>
      </c>
    </row>
    <row r="230" customFormat="false" ht="15" hidden="false" customHeight="false" outlineLevel="0" collapsed="false">
      <c r="A230" s="25" t="s">
        <v>449</v>
      </c>
      <c r="B230" s="25" t="s">
        <v>450</v>
      </c>
      <c r="C230" s="23" t="s">
        <v>70</v>
      </c>
      <c r="D230" s="44" t="s">
        <v>205</v>
      </c>
      <c r="E230" s="23" t="s">
        <v>218</v>
      </c>
      <c r="F230" s="24" t="n">
        <v>-11400</v>
      </c>
      <c r="G230" s="24" t="n">
        <v>218.03362719</v>
      </c>
      <c r="H230" s="24" t="n">
        <v>0</v>
      </c>
      <c r="I230" s="27" t="n">
        <v>2483097.77</v>
      </c>
      <c r="J230" s="25" t="s">
        <v>33</v>
      </c>
      <c r="K230" s="23" t="s">
        <v>207</v>
      </c>
    </row>
    <row r="231" customFormat="false" ht="15" hidden="false" customHeight="false" outlineLevel="0" collapsed="false">
      <c r="A231" s="21" t="s">
        <v>451</v>
      </c>
      <c r="B231" s="21" t="s">
        <v>451</v>
      </c>
      <c r="C231" s="5" t="s">
        <v>70</v>
      </c>
      <c r="D231" s="44" t="s">
        <v>205</v>
      </c>
      <c r="E231" s="5" t="s">
        <v>209</v>
      </c>
      <c r="F231" s="20" t="n">
        <v>13200</v>
      </c>
      <c r="G231" s="20"/>
      <c r="H231" s="20" t="n">
        <v>0</v>
      </c>
      <c r="I231" s="6" t="n">
        <v>13200</v>
      </c>
      <c r="J231" s="21" t="s">
        <v>33</v>
      </c>
      <c r="K231" s="5" t="s">
        <v>207</v>
      </c>
    </row>
    <row r="232" customFormat="false" ht="15" hidden="false" customHeight="false" outlineLevel="0" collapsed="false">
      <c r="A232" s="25" t="s">
        <v>452</v>
      </c>
      <c r="B232" s="25" t="s">
        <v>452</v>
      </c>
      <c r="C232" s="23" t="s">
        <v>282</v>
      </c>
      <c r="D232" s="45" t="s">
        <v>254</v>
      </c>
      <c r="E232" s="23" t="s">
        <v>209</v>
      </c>
      <c r="F232" s="24" t="n">
        <v>7600</v>
      </c>
      <c r="G232" s="24"/>
      <c r="H232" s="24" t="n">
        <v>0</v>
      </c>
      <c r="I232" s="27" t="n">
        <v>22800</v>
      </c>
      <c r="J232" s="25" t="s">
        <v>33</v>
      </c>
      <c r="K232" s="23" t="s">
        <v>207</v>
      </c>
    </row>
    <row r="233" customFormat="false" ht="15" hidden="false" customHeight="false" outlineLevel="0" collapsed="false">
      <c r="A233" s="21" t="s">
        <v>453</v>
      </c>
      <c r="B233" s="21" t="s">
        <v>454</v>
      </c>
      <c r="C233" s="5" t="s">
        <v>90</v>
      </c>
      <c r="D233" s="44" t="s">
        <v>205</v>
      </c>
      <c r="E233" s="5" t="s">
        <v>206</v>
      </c>
      <c r="F233" s="20" t="n">
        <v>1400</v>
      </c>
      <c r="G233" s="20" t="n">
        <v>139</v>
      </c>
      <c r="H233" s="20" t="n">
        <v>0</v>
      </c>
      <c r="I233" s="6" t="n">
        <v>-194794.6</v>
      </c>
      <c r="J233" s="21" t="s">
        <v>33</v>
      </c>
      <c r="K233" s="5" t="s">
        <v>207</v>
      </c>
    </row>
    <row r="234" customFormat="false" ht="15" hidden="false" customHeight="false" outlineLevel="0" collapsed="false">
      <c r="A234" s="25" t="s">
        <v>453</v>
      </c>
      <c r="B234" s="25" t="s">
        <v>453</v>
      </c>
      <c r="C234" s="23" t="s">
        <v>428</v>
      </c>
      <c r="D234" s="45" t="s">
        <v>254</v>
      </c>
      <c r="E234" s="23" t="s">
        <v>209</v>
      </c>
      <c r="F234" s="24" t="n">
        <v>1500</v>
      </c>
      <c r="G234" s="24"/>
      <c r="H234" s="24" t="n">
        <v>0</v>
      </c>
      <c r="I234" s="27" t="n">
        <v>1500</v>
      </c>
      <c r="J234" s="25" t="s">
        <v>33</v>
      </c>
      <c r="K234" s="23" t="s">
        <v>207</v>
      </c>
    </row>
    <row r="235" customFormat="false" ht="15" hidden="false" customHeight="false" outlineLevel="0" collapsed="false">
      <c r="A235" s="21" t="s">
        <v>455</v>
      </c>
      <c r="B235" s="21" t="s">
        <v>456</v>
      </c>
      <c r="C235" s="5" t="s">
        <v>330</v>
      </c>
      <c r="D235" s="45" t="s">
        <v>254</v>
      </c>
      <c r="E235" s="5" t="s">
        <v>218</v>
      </c>
      <c r="F235" s="20" t="n">
        <v>10</v>
      </c>
      <c r="G235" s="20" t="n">
        <v>2935</v>
      </c>
      <c r="H235" s="20" t="n">
        <v>0</v>
      </c>
      <c r="I235" s="6" t="n">
        <v>-253117.79</v>
      </c>
      <c r="J235" s="21" t="s">
        <v>33</v>
      </c>
      <c r="K235" s="5" t="s">
        <v>207</v>
      </c>
    </row>
    <row r="236" customFormat="false" ht="15" hidden="false" customHeight="false" outlineLevel="0" collapsed="false">
      <c r="A236" s="25" t="s">
        <v>455</v>
      </c>
      <c r="B236" s="25" t="s">
        <v>456</v>
      </c>
      <c r="C236" s="23" t="s">
        <v>78</v>
      </c>
      <c r="D236" s="44" t="s">
        <v>205</v>
      </c>
      <c r="E236" s="23" t="s">
        <v>218</v>
      </c>
      <c r="F236" s="24" t="n">
        <v>9000</v>
      </c>
      <c r="G236" s="24" t="n">
        <v>276.39795556</v>
      </c>
      <c r="H236" s="24" t="n">
        <v>0</v>
      </c>
      <c r="I236" s="27" t="n">
        <v>-2490069.18</v>
      </c>
      <c r="J236" s="25" t="s">
        <v>33</v>
      </c>
      <c r="K236" s="23" t="s">
        <v>207</v>
      </c>
    </row>
    <row r="237" customFormat="false" ht="15" hidden="false" customHeight="false" outlineLevel="0" collapsed="false">
      <c r="A237" s="21" t="s">
        <v>455</v>
      </c>
      <c r="B237" s="21" t="s">
        <v>456</v>
      </c>
      <c r="C237" s="5" t="s">
        <v>70</v>
      </c>
      <c r="D237" s="44" t="s">
        <v>205</v>
      </c>
      <c r="E237" s="5" t="s">
        <v>206</v>
      </c>
      <c r="F237" s="20" t="n">
        <v>12400</v>
      </c>
      <c r="G237" s="20" t="n">
        <v>200.65</v>
      </c>
      <c r="H237" s="20" t="n">
        <v>0</v>
      </c>
      <c r="I237" s="6" t="n">
        <v>-2490548.06</v>
      </c>
      <c r="J237" s="21" t="s">
        <v>33</v>
      </c>
      <c r="K237" s="5" t="s">
        <v>207</v>
      </c>
    </row>
    <row r="238" customFormat="false" ht="15" hidden="false" customHeight="false" outlineLevel="0" collapsed="false">
      <c r="A238" s="25" t="s">
        <v>455</v>
      </c>
      <c r="B238" s="25" t="s">
        <v>456</v>
      </c>
      <c r="C238" s="23" t="s">
        <v>322</v>
      </c>
      <c r="D238" s="45" t="s">
        <v>254</v>
      </c>
      <c r="E238" s="23" t="s">
        <v>218</v>
      </c>
      <c r="F238" s="24" t="n">
        <v>90</v>
      </c>
      <c r="G238" s="24" t="n">
        <v>323.689</v>
      </c>
      <c r="H238" s="24" t="n">
        <v>0</v>
      </c>
      <c r="I238" s="27" t="n">
        <v>-251389.44</v>
      </c>
      <c r="J238" s="25" t="s">
        <v>33</v>
      </c>
      <c r="K238" s="23" t="s">
        <v>207</v>
      </c>
    </row>
    <row r="239" customFormat="false" ht="15" hidden="false" customHeight="false" outlineLevel="0" collapsed="false">
      <c r="A239" s="21" t="s">
        <v>455</v>
      </c>
      <c r="B239" s="21" t="s">
        <v>456</v>
      </c>
      <c r="C239" s="5" t="s">
        <v>81</v>
      </c>
      <c r="D239" s="44" t="s">
        <v>205</v>
      </c>
      <c r="E239" s="5" t="s">
        <v>218</v>
      </c>
      <c r="F239" s="20" t="n">
        <v>1000</v>
      </c>
      <c r="G239" s="20" t="n">
        <v>48.37228</v>
      </c>
      <c r="H239" s="20" t="n">
        <v>0</v>
      </c>
      <c r="I239" s="6" t="n">
        <v>-484884.39</v>
      </c>
      <c r="J239" s="21" t="s">
        <v>33</v>
      </c>
      <c r="K239" s="5" t="s">
        <v>207</v>
      </c>
    </row>
    <row r="240" customFormat="false" ht="15" hidden="false" customHeight="false" outlineLevel="0" collapsed="false">
      <c r="A240" s="25" t="s">
        <v>455</v>
      </c>
      <c r="B240" s="25" t="s">
        <v>456</v>
      </c>
      <c r="C240" s="23" t="s">
        <v>282</v>
      </c>
      <c r="D240" s="45" t="s">
        <v>254</v>
      </c>
      <c r="E240" s="23" t="s">
        <v>218</v>
      </c>
      <c r="F240" s="24" t="n">
        <v>5200</v>
      </c>
      <c r="G240" s="24" t="n">
        <v>47.05807692</v>
      </c>
      <c r="H240" s="24" t="n">
        <v>0</v>
      </c>
      <c r="I240" s="27" t="n">
        <v>-244946.7</v>
      </c>
      <c r="J240" s="25" t="s">
        <v>33</v>
      </c>
      <c r="K240" s="23" t="s">
        <v>207</v>
      </c>
    </row>
    <row r="241" customFormat="false" ht="15" hidden="false" customHeight="false" outlineLevel="0" collapsed="false">
      <c r="A241" s="21" t="s">
        <v>455</v>
      </c>
      <c r="B241" s="21" t="s">
        <v>456</v>
      </c>
      <c r="C241" s="5" t="s">
        <v>325</v>
      </c>
      <c r="D241" s="45" t="s">
        <v>254</v>
      </c>
      <c r="E241" s="5" t="s">
        <v>218</v>
      </c>
      <c r="F241" s="20" t="n">
        <v>500</v>
      </c>
      <c r="G241" s="20" t="n">
        <v>46.29</v>
      </c>
      <c r="H241" s="20" t="n">
        <v>0</v>
      </c>
      <c r="I241" s="6" t="n">
        <v>-231964.15</v>
      </c>
      <c r="J241" s="21" t="s">
        <v>33</v>
      </c>
      <c r="K241" s="5" t="s">
        <v>207</v>
      </c>
    </row>
    <row r="242" customFormat="false" ht="15" hidden="false" customHeight="false" outlineLevel="0" collapsed="false">
      <c r="A242" s="25" t="s">
        <v>455</v>
      </c>
      <c r="B242" s="25" t="s">
        <v>456</v>
      </c>
      <c r="C242" s="23" t="s">
        <v>327</v>
      </c>
      <c r="D242" s="45" t="s">
        <v>254</v>
      </c>
      <c r="E242" s="23" t="s">
        <v>206</v>
      </c>
      <c r="F242" s="24" t="n">
        <v>1100</v>
      </c>
      <c r="G242" s="24" t="n">
        <v>216.45</v>
      </c>
      <c r="H242" s="24" t="n">
        <v>0</v>
      </c>
      <c r="I242" s="27" t="n">
        <v>-238333.1</v>
      </c>
      <c r="J242" s="25" t="s">
        <v>33</v>
      </c>
      <c r="K242" s="23" t="s">
        <v>207</v>
      </c>
    </row>
    <row r="243" customFormat="false" ht="15" hidden="false" customHeight="false" outlineLevel="0" collapsed="false">
      <c r="A243" s="21" t="s">
        <v>457</v>
      </c>
      <c r="B243" s="21" t="s">
        <v>457</v>
      </c>
      <c r="C243" s="5" t="s">
        <v>88</v>
      </c>
      <c r="D243" s="44" t="s">
        <v>205</v>
      </c>
      <c r="E243" s="5" t="s">
        <v>209</v>
      </c>
      <c r="F243" s="20" t="n">
        <v>500</v>
      </c>
      <c r="G243" s="20"/>
      <c r="H243" s="20" t="n">
        <v>0</v>
      </c>
      <c r="I243" s="6" t="n">
        <v>1725</v>
      </c>
      <c r="J243" s="21" t="s">
        <v>33</v>
      </c>
      <c r="K243" s="5" t="s">
        <v>207</v>
      </c>
    </row>
    <row r="244" customFormat="false" ht="15" hidden="false" customHeight="false" outlineLevel="0" collapsed="false">
      <c r="A244" s="25" t="s">
        <v>458</v>
      </c>
      <c r="B244" s="25" t="s">
        <v>458</v>
      </c>
      <c r="C244" s="23" t="s">
        <v>288</v>
      </c>
      <c r="D244" s="45" t="s">
        <v>254</v>
      </c>
      <c r="E244" s="23" t="s">
        <v>209</v>
      </c>
      <c r="F244" s="24" t="n">
        <v>50</v>
      </c>
      <c r="G244" s="24"/>
      <c r="H244" s="24" t="n">
        <v>0</v>
      </c>
      <c r="I244" s="27" t="n">
        <v>450</v>
      </c>
      <c r="J244" s="25" t="s">
        <v>33</v>
      </c>
      <c r="K244" s="23" t="s">
        <v>207</v>
      </c>
    </row>
    <row r="245" customFormat="false" ht="15" hidden="false" customHeight="false" outlineLevel="0" collapsed="false">
      <c r="A245" s="21" t="s">
        <v>459</v>
      </c>
      <c r="B245" s="21" t="s">
        <v>460</v>
      </c>
      <c r="C245" s="5" t="s">
        <v>461</v>
      </c>
      <c r="D245" s="45" t="s">
        <v>254</v>
      </c>
      <c r="E245" s="5" t="s">
        <v>406</v>
      </c>
      <c r="F245" s="20" t="n">
        <v>-425</v>
      </c>
      <c r="G245" s="20"/>
      <c r="H245" s="20" t="n">
        <v>0</v>
      </c>
      <c r="I245" s="6" t="n">
        <v>0</v>
      </c>
      <c r="J245" s="21" t="s">
        <v>33</v>
      </c>
      <c r="K245" s="5" t="s">
        <v>207</v>
      </c>
    </row>
    <row r="246" customFormat="false" ht="15" hidden="false" customHeight="false" outlineLevel="0" collapsed="false">
      <c r="A246" s="25" t="s">
        <v>459</v>
      </c>
      <c r="B246" s="25" t="s">
        <v>460</v>
      </c>
      <c r="C246" s="23" t="s">
        <v>90</v>
      </c>
      <c r="D246" s="44" t="s">
        <v>205</v>
      </c>
      <c r="E246" s="23" t="s">
        <v>405</v>
      </c>
      <c r="F246" s="24" t="n">
        <v>4250</v>
      </c>
      <c r="G246" s="24"/>
      <c r="H246" s="24" t="n">
        <v>0</v>
      </c>
      <c r="I246" s="27" t="n">
        <v>0</v>
      </c>
      <c r="J246" s="25" t="s">
        <v>33</v>
      </c>
      <c r="K246" s="23" t="s">
        <v>207</v>
      </c>
    </row>
    <row r="247" customFormat="false" ht="15" hidden="false" customHeight="false" outlineLevel="0" collapsed="false">
      <c r="A247" s="21" t="s">
        <v>462</v>
      </c>
      <c r="B247" s="21" t="s">
        <v>463</v>
      </c>
      <c r="C247" s="5" t="s">
        <v>464</v>
      </c>
      <c r="D247" s="45" t="s">
        <v>254</v>
      </c>
      <c r="E247" s="5" t="s">
        <v>218</v>
      </c>
      <c r="F247" s="20" t="n">
        <v>-350</v>
      </c>
      <c r="G247" s="20" t="n">
        <v>215.25</v>
      </c>
      <c r="H247" s="20" t="n">
        <v>0</v>
      </c>
      <c r="I247" s="6" t="n">
        <v>75258.5</v>
      </c>
      <c r="J247" s="21" t="s">
        <v>33</v>
      </c>
      <c r="K247" s="5" t="s">
        <v>207</v>
      </c>
    </row>
    <row r="248" customFormat="false" ht="15" hidden="false" customHeight="false" outlineLevel="0" collapsed="false">
      <c r="A248" s="25" t="s">
        <v>462</v>
      </c>
      <c r="B248" s="25" t="s">
        <v>463</v>
      </c>
      <c r="C248" s="23" t="s">
        <v>465</v>
      </c>
      <c r="D248" s="45" t="s">
        <v>254</v>
      </c>
      <c r="E248" s="23" t="s">
        <v>218</v>
      </c>
      <c r="F248" s="24" t="n">
        <v>-250</v>
      </c>
      <c r="G248" s="24" t="n">
        <v>304</v>
      </c>
      <c r="H248" s="24" t="n">
        <v>0</v>
      </c>
      <c r="I248" s="27" t="n">
        <v>75921</v>
      </c>
      <c r="J248" s="25" t="s">
        <v>33</v>
      </c>
      <c r="K248" s="23" t="s">
        <v>207</v>
      </c>
    </row>
    <row r="249" customFormat="false" ht="15" hidden="false" customHeight="false" outlineLevel="0" collapsed="false">
      <c r="A249" s="21" t="s">
        <v>466</v>
      </c>
      <c r="B249" s="21" t="s">
        <v>467</v>
      </c>
      <c r="C249" s="5" t="s">
        <v>70</v>
      </c>
      <c r="D249" s="44" t="s">
        <v>205</v>
      </c>
      <c r="E249" s="5" t="s">
        <v>405</v>
      </c>
      <c r="F249" s="20" t="n">
        <v>800</v>
      </c>
      <c r="G249" s="20"/>
      <c r="H249" s="20" t="n">
        <v>0</v>
      </c>
      <c r="I249" s="6" t="n">
        <v>0</v>
      </c>
      <c r="J249" s="21" t="s">
        <v>33</v>
      </c>
      <c r="K249" s="5" t="s">
        <v>207</v>
      </c>
    </row>
    <row r="250" customFormat="false" ht="15" hidden="false" customHeight="false" outlineLevel="0" collapsed="false">
      <c r="A250" s="25" t="s">
        <v>466</v>
      </c>
      <c r="B250" s="25" t="s">
        <v>467</v>
      </c>
      <c r="C250" s="23" t="s">
        <v>468</v>
      </c>
      <c r="D250" s="44" t="s">
        <v>205</v>
      </c>
      <c r="E250" s="23" t="s">
        <v>406</v>
      </c>
      <c r="F250" s="24" t="n">
        <v>-200</v>
      </c>
      <c r="G250" s="24"/>
      <c r="H250" s="24" t="n">
        <v>0</v>
      </c>
      <c r="I250" s="27" t="n">
        <v>0</v>
      </c>
      <c r="J250" s="25" t="s">
        <v>33</v>
      </c>
      <c r="K250" s="23" t="s">
        <v>207</v>
      </c>
    </row>
    <row r="251" customFormat="false" ht="15" hidden="false" customHeight="false" outlineLevel="0" collapsed="false">
      <c r="A251" s="21" t="s">
        <v>469</v>
      </c>
      <c r="B251" s="21" t="s">
        <v>469</v>
      </c>
      <c r="C251" s="5" t="s">
        <v>468</v>
      </c>
      <c r="D251" s="44" t="s">
        <v>205</v>
      </c>
      <c r="E251" s="5" t="s">
        <v>209</v>
      </c>
      <c r="F251" s="20" t="n">
        <v>200</v>
      </c>
      <c r="G251" s="20"/>
      <c r="H251" s="20" t="n">
        <v>0</v>
      </c>
      <c r="I251" s="6" t="n">
        <v>2000</v>
      </c>
      <c r="J251" s="21" t="s">
        <v>33</v>
      </c>
      <c r="K251" s="5" t="s">
        <v>207</v>
      </c>
    </row>
    <row r="252" customFormat="false" ht="15" hidden="false" customHeight="false" outlineLevel="0" collapsed="false">
      <c r="A252" s="25" t="s">
        <v>470</v>
      </c>
      <c r="B252" s="25" t="s">
        <v>471</v>
      </c>
      <c r="C252" s="23" t="s">
        <v>472</v>
      </c>
      <c r="D252" s="45" t="s">
        <v>254</v>
      </c>
      <c r="E252" s="23" t="s">
        <v>239</v>
      </c>
      <c r="F252" s="24" t="n">
        <v>-1500</v>
      </c>
      <c r="G252" s="24" t="n">
        <v>73.85</v>
      </c>
      <c r="H252" s="24" t="n">
        <v>0</v>
      </c>
      <c r="I252" s="27" t="n">
        <v>110664.22</v>
      </c>
      <c r="J252" s="25" t="s">
        <v>33</v>
      </c>
      <c r="K252" s="23" t="s">
        <v>207</v>
      </c>
    </row>
    <row r="253" customFormat="false" ht="15" hidden="false" customHeight="false" outlineLevel="0" collapsed="false">
      <c r="A253" s="21" t="s">
        <v>473</v>
      </c>
      <c r="B253" s="21" t="s">
        <v>470</v>
      </c>
      <c r="C253" s="5" t="s">
        <v>472</v>
      </c>
      <c r="D253" s="45" t="s">
        <v>254</v>
      </c>
      <c r="E253" s="5" t="s">
        <v>405</v>
      </c>
      <c r="F253" s="20" t="n">
        <v>1500</v>
      </c>
      <c r="G253" s="20"/>
      <c r="H253" s="20" t="n">
        <v>0</v>
      </c>
      <c r="I253" s="6" t="n">
        <v>0</v>
      </c>
      <c r="J253" s="21" t="s">
        <v>33</v>
      </c>
      <c r="K253" s="5" t="s">
        <v>207</v>
      </c>
    </row>
    <row r="254" customFormat="false" ht="15" hidden="false" customHeight="false" outlineLevel="0" collapsed="false">
      <c r="A254" s="25" t="s">
        <v>473</v>
      </c>
      <c r="B254" s="25" t="s">
        <v>470</v>
      </c>
      <c r="C254" s="23" t="s">
        <v>474</v>
      </c>
      <c r="D254" s="45" t="s">
        <v>254</v>
      </c>
      <c r="E254" s="23" t="s">
        <v>406</v>
      </c>
      <c r="F254" s="24" t="n">
        <v>-150</v>
      </c>
      <c r="G254" s="24"/>
      <c r="H254" s="24" t="n">
        <v>0</v>
      </c>
      <c r="I254" s="27" t="n">
        <v>0</v>
      </c>
      <c r="J254" s="25" t="s">
        <v>33</v>
      </c>
      <c r="K254" s="23" t="s">
        <v>207</v>
      </c>
    </row>
    <row r="255" customFormat="false" ht="15" hidden="false" customHeight="false" outlineLevel="0" collapsed="false">
      <c r="A255" s="21" t="s">
        <v>475</v>
      </c>
      <c r="B255" s="21" t="s">
        <v>475</v>
      </c>
      <c r="C255" s="5" t="s">
        <v>288</v>
      </c>
      <c r="D255" s="45" t="s">
        <v>254</v>
      </c>
      <c r="E255" s="5" t="s">
        <v>209</v>
      </c>
      <c r="F255" s="20" t="n">
        <v>50</v>
      </c>
      <c r="G255" s="20"/>
      <c r="H255" s="20" t="n">
        <v>0</v>
      </c>
      <c r="I255" s="6" t="n">
        <v>750</v>
      </c>
      <c r="J255" s="21" t="s">
        <v>33</v>
      </c>
      <c r="K255" s="5" t="s">
        <v>207</v>
      </c>
    </row>
    <row r="256" customFormat="false" ht="15" hidden="false" customHeight="false" outlineLevel="0" collapsed="false">
      <c r="A256" s="25" t="s">
        <v>475</v>
      </c>
      <c r="B256" s="25" t="s">
        <v>475</v>
      </c>
      <c r="C256" s="23" t="s">
        <v>282</v>
      </c>
      <c r="D256" s="45" t="s">
        <v>254</v>
      </c>
      <c r="E256" s="23" t="s">
        <v>209</v>
      </c>
      <c r="F256" s="24" t="n">
        <v>2400</v>
      </c>
      <c r="G256" s="24"/>
      <c r="H256" s="24" t="n">
        <v>0</v>
      </c>
      <c r="I256" s="27" t="n">
        <v>6432</v>
      </c>
      <c r="J256" s="25" t="s">
        <v>33</v>
      </c>
      <c r="K256" s="23" t="s">
        <v>207</v>
      </c>
    </row>
    <row r="257" customFormat="false" ht="15" hidden="false" customHeight="false" outlineLevel="0" collapsed="false">
      <c r="A257" s="21" t="s">
        <v>476</v>
      </c>
      <c r="B257" s="21" t="s">
        <v>476</v>
      </c>
      <c r="C257" s="5" t="s">
        <v>327</v>
      </c>
      <c r="D257" s="45" t="s">
        <v>254</v>
      </c>
      <c r="E257" s="5" t="s">
        <v>209</v>
      </c>
      <c r="F257" s="20" t="n">
        <v>500</v>
      </c>
      <c r="G257" s="20"/>
      <c r="H257" s="20" t="n">
        <v>0</v>
      </c>
      <c r="I257" s="6" t="n">
        <v>3250</v>
      </c>
      <c r="J257" s="21" t="s">
        <v>33</v>
      </c>
      <c r="K257" s="5" t="s">
        <v>207</v>
      </c>
    </row>
  </sheetData>
  <autoFilter ref="A4:K257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6" min="4" style="0" width="16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477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478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479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4" t="s">
        <v>60</v>
      </c>
      <c r="B5" s="4" t="s">
        <v>61</v>
      </c>
      <c r="C5" s="4" t="s">
        <v>196</v>
      </c>
      <c r="D5" s="4" t="s">
        <v>480</v>
      </c>
      <c r="E5" s="4" t="s">
        <v>481</v>
      </c>
      <c r="F5" s="4" t="s">
        <v>482</v>
      </c>
      <c r="G5" s="4" t="s">
        <v>483</v>
      </c>
    </row>
    <row r="6" customFormat="false" ht="15" hidden="false" customHeight="false" outlineLevel="0" collapsed="false">
      <c r="A6" s="5" t="s">
        <v>79</v>
      </c>
      <c r="B6" s="14" t="n">
        <v>16</v>
      </c>
      <c r="C6" s="21" t="s">
        <v>484</v>
      </c>
      <c r="D6" s="6" t="n">
        <v>15075</v>
      </c>
      <c r="E6" s="6" t="n">
        <v>11998</v>
      </c>
      <c r="F6" s="6" t="n">
        <v>3077</v>
      </c>
      <c r="G6" s="5"/>
    </row>
    <row r="7" customFormat="false" ht="15" hidden="false" customHeight="false" outlineLevel="0" collapsed="false">
      <c r="A7" s="23" t="s">
        <v>79</v>
      </c>
      <c r="B7" s="46" t="n">
        <v>26</v>
      </c>
      <c r="C7" s="25" t="s">
        <v>485</v>
      </c>
      <c r="D7" s="27" t="n">
        <v>22309</v>
      </c>
      <c r="E7" s="27" t="n">
        <v>19497</v>
      </c>
      <c r="F7" s="27" t="n">
        <v>2812</v>
      </c>
      <c r="G7" s="23"/>
    </row>
    <row r="8" customFormat="false" ht="15" hidden="false" customHeight="false" outlineLevel="0" collapsed="false">
      <c r="A8" s="5" t="s">
        <v>79</v>
      </c>
      <c r="B8" s="14" t="n">
        <v>8</v>
      </c>
      <c r="C8" s="21" t="s">
        <v>486</v>
      </c>
      <c r="D8" s="6" t="n">
        <v>6961</v>
      </c>
      <c r="E8" s="6" t="n">
        <v>5999</v>
      </c>
      <c r="F8" s="6" t="n">
        <v>962</v>
      </c>
      <c r="G8" s="5"/>
    </row>
    <row r="9" customFormat="false" ht="15" hidden="false" customHeight="false" outlineLevel="0" collapsed="false">
      <c r="A9" s="23" t="s">
        <v>79</v>
      </c>
      <c r="B9" s="46" t="n">
        <v>10</v>
      </c>
      <c r="C9" s="25" t="s">
        <v>487</v>
      </c>
      <c r="D9" s="27" t="n">
        <v>9641</v>
      </c>
      <c r="E9" s="27" t="n">
        <v>7499</v>
      </c>
      <c r="F9" s="27" t="n">
        <v>2142</v>
      </c>
      <c r="G9" s="23"/>
    </row>
    <row r="10" customFormat="false" ht="15" hidden="false" customHeight="false" outlineLevel="0" collapsed="false">
      <c r="A10" s="5" t="s">
        <v>79</v>
      </c>
      <c r="B10" s="14" t="n">
        <v>510</v>
      </c>
      <c r="C10" s="21" t="s">
        <v>438</v>
      </c>
      <c r="D10" s="6" t="n">
        <v>566334</v>
      </c>
      <c r="E10" s="6" t="n">
        <v>508082</v>
      </c>
      <c r="F10" s="6" t="n">
        <v>58252</v>
      </c>
      <c r="G10" s="5"/>
    </row>
    <row r="11" customFormat="false" ht="15" hidden="false" customHeight="false" outlineLevel="0" collapsed="false">
      <c r="A11" s="23" t="s">
        <v>79</v>
      </c>
      <c r="B11" s="46" t="n">
        <v>150</v>
      </c>
      <c r="C11" s="25" t="s">
        <v>314</v>
      </c>
      <c r="D11" s="27" t="n">
        <v>215801</v>
      </c>
      <c r="E11" s="27" t="n">
        <v>149436</v>
      </c>
      <c r="F11" s="27" t="n">
        <v>66365</v>
      </c>
      <c r="G11" s="23"/>
    </row>
    <row r="12" customFormat="false" ht="15" hidden="false" customHeight="false" outlineLevel="0" collapsed="false">
      <c r="A12" s="5" t="s">
        <v>79</v>
      </c>
      <c r="B12" s="14" t="n">
        <v>50</v>
      </c>
      <c r="C12" s="21" t="s">
        <v>488</v>
      </c>
      <c r="D12" s="6" t="n">
        <v>81430</v>
      </c>
      <c r="E12" s="6" t="n">
        <v>49812</v>
      </c>
      <c r="F12" s="6" t="n">
        <v>31618</v>
      </c>
      <c r="G12" s="5"/>
    </row>
    <row r="13" customFormat="false" ht="15" hidden="false" customHeight="false" outlineLevel="0" collapsed="false">
      <c r="A13" s="23" t="s">
        <v>489</v>
      </c>
      <c r="B13" s="46" t="n">
        <v>900</v>
      </c>
      <c r="C13" s="25" t="s">
        <v>490</v>
      </c>
      <c r="D13" s="27" t="n">
        <v>105415</v>
      </c>
      <c r="E13" s="27" t="n">
        <v>102059</v>
      </c>
      <c r="F13" s="27" t="n">
        <v>3356</v>
      </c>
      <c r="G13" s="23"/>
    </row>
    <row r="14" customFormat="false" ht="15" hidden="false" customHeight="false" outlineLevel="0" collapsed="false">
      <c r="A14" s="5" t="s">
        <v>489</v>
      </c>
      <c r="B14" s="14" t="n">
        <v>1000</v>
      </c>
      <c r="C14" s="21" t="s">
        <v>381</v>
      </c>
      <c r="D14" s="6" t="n">
        <v>123416</v>
      </c>
      <c r="E14" s="6" t="n">
        <v>107562</v>
      </c>
      <c r="F14" s="6" t="n">
        <v>15854</v>
      </c>
      <c r="G14" s="5"/>
    </row>
    <row r="15" customFormat="false" ht="15" hidden="false" customHeight="false" outlineLevel="0" collapsed="false">
      <c r="A15" s="23" t="s">
        <v>491</v>
      </c>
      <c r="B15" s="46" t="n">
        <v>2525</v>
      </c>
      <c r="C15" s="25" t="s">
        <v>492</v>
      </c>
      <c r="D15" s="27" t="n">
        <v>60792</v>
      </c>
      <c r="E15" s="27" t="n">
        <v>599980</v>
      </c>
      <c r="F15" s="27" t="n">
        <v>-539188</v>
      </c>
      <c r="G15" s="23" t="s">
        <v>493</v>
      </c>
    </row>
    <row r="16" customFormat="false" ht="15" hidden="false" customHeight="false" outlineLevel="0" collapsed="false">
      <c r="A16" s="5" t="s">
        <v>83</v>
      </c>
      <c r="B16" s="14" t="n">
        <v>330</v>
      </c>
      <c r="C16" s="21" t="s">
        <v>494</v>
      </c>
      <c r="D16" s="6" t="n">
        <v>19412</v>
      </c>
      <c r="E16" s="6" t="n">
        <v>6214</v>
      </c>
      <c r="F16" s="6" t="n">
        <v>13198</v>
      </c>
      <c r="G16" s="5"/>
    </row>
    <row r="17" customFormat="false" ht="15" hidden="false" customHeight="false" outlineLevel="0" collapsed="false">
      <c r="A17" s="23" t="s">
        <v>83</v>
      </c>
      <c r="B17" s="46" t="n">
        <v>1200</v>
      </c>
      <c r="C17" s="25" t="s">
        <v>495</v>
      </c>
      <c r="D17" s="27" t="n">
        <v>103728</v>
      </c>
      <c r="E17" s="27" t="n">
        <v>35535</v>
      </c>
      <c r="F17" s="27" t="n">
        <v>68193</v>
      </c>
      <c r="G17" s="23"/>
    </row>
    <row r="18" customFormat="false" ht="15" hidden="false" customHeight="false" outlineLevel="0" collapsed="false">
      <c r="A18" s="5" t="s">
        <v>83</v>
      </c>
      <c r="B18" s="14" t="n">
        <v>900</v>
      </c>
      <c r="C18" s="21" t="s">
        <v>333</v>
      </c>
      <c r="D18" s="6" t="n">
        <v>110009</v>
      </c>
      <c r="E18" s="6" t="n">
        <v>26651</v>
      </c>
      <c r="F18" s="6" t="n">
        <v>83358</v>
      </c>
      <c r="G18" s="5"/>
    </row>
    <row r="19" customFormat="false" ht="15" hidden="false" customHeight="false" outlineLevel="0" collapsed="false">
      <c r="A19" s="23" t="s">
        <v>83</v>
      </c>
      <c r="B19" s="46" t="n">
        <v>900</v>
      </c>
      <c r="C19" s="25" t="s">
        <v>314</v>
      </c>
      <c r="D19" s="27" t="n">
        <v>105502</v>
      </c>
      <c r="E19" s="27" t="n">
        <v>26651</v>
      </c>
      <c r="F19" s="27" t="n">
        <v>78851</v>
      </c>
      <c r="G19" s="23"/>
    </row>
    <row r="20" customFormat="false" ht="15" hidden="false" customHeight="false" outlineLevel="0" collapsed="false">
      <c r="A20" s="5" t="s">
        <v>83</v>
      </c>
      <c r="B20" s="14" t="n">
        <v>800</v>
      </c>
      <c r="C20" s="21" t="s">
        <v>496</v>
      </c>
      <c r="D20" s="6" t="n">
        <v>140788</v>
      </c>
      <c r="E20" s="6" t="n">
        <v>23690</v>
      </c>
      <c r="F20" s="6" t="n">
        <v>117098</v>
      </c>
      <c r="G20" s="5"/>
    </row>
    <row r="21" customFormat="false" ht="15" hidden="false" customHeight="false" outlineLevel="0" collapsed="false">
      <c r="A21" s="23" t="s">
        <v>83</v>
      </c>
      <c r="B21" s="46" t="n">
        <v>2100</v>
      </c>
      <c r="C21" s="25" t="s">
        <v>497</v>
      </c>
      <c r="D21" s="27" t="n">
        <v>489088</v>
      </c>
      <c r="E21" s="27" t="n">
        <v>62186</v>
      </c>
      <c r="F21" s="27" t="n">
        <v>426902</v>
      </c>
      <c r="G21" s="23" t="s">
        <v>498</v>
      </c>
    </row>
    <row r="22" customFormat="false" ht="15" hidden="false" customHeight="false" outlineLevel="0" collapsed="false">
      <c r="A22" s="5" t="s">
        <v>499</v>
      </c>
      <c r="B22" s="14" t="n">
        <v>175</v>
      </c>
      <c r="C22" s="21" t="s">
        <v>484</v>
      </c>
      <c r="D22" s="6" t="n">
        <v>19611</v>
      </c>
      <c r="E22" s="6" t="n">
        <v>8650</v>
      </c>
      <c r="F22" s="6" t="n">
        <v>10961</v>
      </c>
      <c r="G22" s="5"/>
    </row>
    <row r="23" customFormat="false" ht="15" hidden="false" customHeight="false" outlineLevel="0" collapsed="false">
      <c r="A23" s="23" t="s">
        <v>499</v>
      </c>
      <c r="B23" s="46" t="n">
        <v>2025</v>
      </c>
      <c r="C23" s="25" t="s">
        <v>287</v>
      </c>
      <c r="D23" s="27" t="n">
        <v>243886</v>
      </c>
      <c r="E23" s="27" t="n">
        <v>151712</v>
      </c>
      <c r="F23" s="27" t="n">
        <v>92174</v>
      </c>
      <c r="G23" s="23"/>
    </row>
    <row r="24" customFormat="false" ht="15" hidden="false" customHeight="false" outlineLevel="0" collapsed="false">
      <c r="A24" s="5" t="s">
        <v>500</v>
      </c>
      <c r="B24" s="14" t="n">
        <v>300</v>
      </c>
      <c r="C24" s="21" t="s">
        <v>501</v>
      </c>
      <c r="D24" s="6" t="n">
        <v>59970</v>
      </c>
      <c r="E24" s="6" t="n">
        <v>60005</v>
      </c>
      <c r="F24" s="6" t="n">
        <v>-35</v>
      </c>
      <c r="G24" s="5"/>
    </row>
    <row r="25" customFormat="false" ht="15" hidden="false" customHeight="false" outlineLevel="0" collapsed="false">
      <c r="A25" s="23" t="s">
        <v>502</v>
      </c>
      <c r="B25" s="46" t="n">
        <v>2570</v>
      </c>
      <c r="C25" s="25" t="s">
        <v>438</v>
      </c>
      <c r="D25" s="27" t="n">
        <v>38434</v>
      </c>
      <c r="E25" s="27" t="n">
        <v>62881</v>
      </c>
      <c r="F25" s="27" t="n">
        <v>-24447</v>
      </c>
      <c r="G25" s="23"/>
    </row>
    <row r="26" customFormat="false" ht="15" hidden="false" customHeight="false" outlineLevel="0" collapsed="false">
      <c r="A26" s="5" t="s">
        <v>503</v>
      </c>
      <c r="B26" s="14" t="n">
        <v>0</v>
      </c>
      <c r="C26" s="21" t="s">
        <v>504</v>
      </c>
      <c r="D26" s="6" t="n">
        <v>66</v>
      </c>
      <c r="E26" s="6" t="n">
        <v>175</v>
      </c>
      <c r="F26" s="6" t="n">
        <v>-109</v>
      </c>
      <c r="G26" s="5" t="s">
        <v>505</v>
      </c>
    </row>
    <row r="27" customFormat="false" ht="15" hidden="false" customHeight="false" outlineLevel="0" collapsed="false">
      <c r="A27" s="23" t="s">
        <v>503</v>
      </c>
      <c r="B27" s="46" t="n">
        <v>383</v>
      </c>
      <c r="C27" s="25" t="s">
        <v>506</v>
      </c>
      <c r="D27" s="27" t="n">
        <v>33412</v>
      </c>
      <c r="E27" s="27" t="n">
        <v>116331</v>
      </c>
      <c r="F27" s="27" t="n">
        <v>-82919</v>
      </c>
      <c r="G27" s="23"/>
    </row>
    <row r="28" customFormat="false" ht="15" hidden="false" customHeight="false" outlineLevel="0" collapsed="false">
      <c r="A28" s="5" t="s">
        <v>507</v>
      </c>
      <c r="B28" s="14" t="n">
        <v>600</v>
      </c>
      <c r="C28" s="21" t="s">
        <v>508</v>
      </c>
      <c r="D28" s="6" t="n">
        <v>58133</v>
      </c>
      <c r="E28" s="6" t="n">
        <v>52368</v>
      </c>
      <c r="F28" s="6" t="n">
        <v>5765</v>
      </c>
      <c r="G28" s="5"/>
    </row>
    <row r="29" customFormat="false" ht="15" hidden="false" customHeight="false" outlineLevel="0" collapsed="false">
      <c r="A29" s="23" t="s">
        <v>509</v>
      </c>
      <c r="B29" s="46" t="n">
        <v>310</v>
      </c>
      <c r="C29" s="25" t="s">
        <v>494</v>
      </c>
      <c r="D29" s="27" t="n">
        <v>19966</v>
      </c>
      <c r="E29" s="27" t="n">
        <v>7660</v>
      </c>
      <c r="F29" s="27" t="n">
        <v>12306</v>
      </c>
      <c r="G29" s="23"/>
    </row>
    <row r="30" customFormat="false" ht="15" hidden="false" customHeight="false" outlineLevel="0" collapsed="false">
      <c r="A30" s="5" t="s">
        <v>509</v>
      </c>
      <c r="B30" s="14" t="n">
        <v>30</v>
      </c>
      <c r="C30" s="21" t="s">
        <v>510</v>
      </c>
      <c r="D30" s="6" t="n">
        <v>3694</v>
      </c>
      <c r="E30" s="6" t="n">
        <v>741</v>
      </c>
      <c r="F30" s="6" t="n">
        <v>2953</v>
      </c>
      <c r="G30" s="5"/>
    </row>
    <row r="31" customFormat="false" ht="15" hidden="false" customHeight="false" outlineLevel="0" collapsed="false">
      <c r="A31" s="23" t="s">
        <v>509</v>
      </c>
      <c r="B31" s="46" t="n">
        <v>1250</v>
      </c>
      <c r="C31" s="25" t="s">
        <v>511</v>
      </c>
      <c r="D31" s="27" t="n">
        <v>125697</v>
      </c>
      <c r="E31" s="27" t="n">
        <v>30889</v>
      </c>
      <c r="F31" s="27" t="n">
        <v>94808</v>
      </c>
      <c r="G31" s="23"/>
    </row>
    <row r="32" customFormat="false" ht="15" hidden="false" customHeight="false" outlineLevel="0" collapsed="false">
      <c r="A32" s="5" t="s">
        <v>509</v>
      </c>
      <c r="B32" s="14" t="n">
        <v>1250</v>
      </c>
      <c r="C32" s="21" t="s">
        <v>512</v>
      </c>
      <c r="D32" s="6" t="n">
        <v>41999</v>
      </c>
      <c r="E32" s="6" t="n">
        <v>30889</v>
      </c>
      <c r="F32" s="6" t="n">
        <v>11110</v>
      </c>
      <c r="G32" s="5"/>
    </row>
    <row r="33" customFormat="false" ht="15" hidden="false" customHeight="false" outlineLevel="0" collapsed="false">
      <c r="A33" s="23" t="s">
        <v>513</v>
      </c>
      <c r="B33" s="46" t="n">
        <v>1850</v>
      </c>
      <c r="C33" s="25" t="s">
        <v>287</v>
      </c>
      <c r="D33" s="27" t="n">
        <v>517737</v>
      </c>
      <c r="E33" s="27" t="n">
        <v>507493</v>
      </c>
      <c r="F33" s="27" t="n">
        <v>10244</v>
      </c>
      <c r="G33" s="23"/>
    </row>
    <row r="34" customFormat="false" ht="15" hidden="false" customHeight="false" outlineLevel="0" collapsed="false">
      <c r="A34" s="5" t="s">
        <v>292</v>
      </c>
      <c r="B34" s="14" t="n">
        <v>5200</v>
      </c>
      <c r="C34" s="21" t="s">
        <v>438</v>
      </c>
      <c r="D34" s="6" t="n">
        <v>465386</v>
      </c>
      <c r="E34" s="6" t="n">
        <v>501219</v>
      </c>
      <c r="F34" s="6" t="n">
        <v>-35833</v>
      </c>
      <c r="G34" s="5"/>
    </row>
    <row r="35" customFormat="false" ht="15" hidden="false" customHeight="false" outlineLevel="0" collapsed="false">
      <c r="A35" s="23" t="s">
        <v>514</v>
      </c>
      <c r="B35" s="46" t="n">
        <v>850</v>
      </c>
      <c r="C35" s="25" t="s">
        <v>515</v>
      </c>
      <c r="D35" s="27" t="n">
        <v>12288</v>
      </c>
      <c r="E35" s="27" t="n">
        <v>20040</v>
      </c>
      <c r="F35" s="27" t="n">
        <v>-7752</v>
      </c>
      <c r="G35" s="23"/>
    </row>
    <row r="36" customFormat="false" ht="15" hidden="false" customHeight="false" outlineLevel="0" collapsed="false">
      <c r="A36" s="5" t="s">
        <v>514</v>
      </c>
      <c r="B36" s="14" t="n">
        <v>9775</v>
      </c>
      <c r="C36" s="21" t="s">
        <v>438</v>
      </c>
      <c r="D36" s="6" t="n">
        <v>18709</v>
      </c>
      <c r="E36" s="6" t="n">
        <v>132244</v>
      </c>
      <c r="F36" s="6" t="n">
        <v>-113535</v>
      </c>
      <c r="G36" s="5" t="s">
        <v>493</v>
      </c>
    </row>
    <row r="37" customFormat="false" ht="15" hidden="false" customHeight="false" outlineLevel="0" collapsed="false">
      <c r="A37" s="23" t="s">
        <v>516</v>
      </c>
      <c r="B37" s="46" t="n">
        <v>38</v>
      </c>
      <c r="C37" s="25" t="s">
        <v>484</v>
      </c>
      <c r="D37" s="27" t="n">
        <v>17299</v>
      </c>
      <c r="E37" s="27" t="n">
        <v>20396</v>
      </c>
      <c r="F37" s="27" t="n">
        <v>-3097</v>
      </c>
      <c r="G37" s="23"/>
    </row>
    <row r="38" customFormat="false" ht="15" hidden="false" customHeight="false" outlineLevel="0" collapsed="false">
      <c r="A38" s="5" t="s">
        <v>516</v>
      </c>
      <c r="B38" s="14" t="n">
        <v>40</v>
      </c>
      <c r="C38" s="21" t="s">
        <v>487</v>
      </c>
      <c r="D38" s="6" t="n">
        <v>10321</v>
      </c>
      <c r="E38" s="6" t="n">
        <v>21469</v>
      </c>
      <c r="F38" s="6" t="n">
        <v>-11148</v>
      </c>
      <c r="G38" s="5"/>
    </row>
    <row r="39" customFormat="false" ht="15" hidden="false" customHeight="false" outlineLevel="0" collapsed="false">
      <c r="A39" s="23" t="s">
        <v>516</v>
      </c>
      <c r="B39" s="46" t="n">
        <v>147</v>
      </c>
      <c r="C39" s="25" t="s">
        <v>517</v>
      </c>
      <c r="D39" s="27" t="n">
        <v>45580</v>
      </c>
      <c r="E39" s="27" t="n">
        <v>78898</v>
      </c>
      <c r="F39" s="27" t="n">
        <v>-33318</v>
      </c>
      <c r="G39" s="23"/>
    </row>
    <row r="40" customFormat="false" ht="15" hidden="false" customHeight="false" outlineLevel="0" collapsed="false">
      <c r="A40" s="5" t="s">
        <v>518</v>
      </c>
      <c r="B40" s="14" t="n">
        <v>3500</v>
      </c>
      <c r="C40" s="21" t="s">
        <v>519</v>
      </c>
      <c r="D40" s="6" t="n">
        <v>504233</v>
      </c>
      <c r="E40" s="6" t="n">
        <v>506600</v>
      </c>
      <c r="F40" s="6" t="n">
        <v>-2367</v>
      </c>
      <c r="G40" s="5"/>
    </row>
    <row r="41" customFormat="false" ht="15" hidden="false" customHeight="false" outlineLevel="0" collapsed="false">
      <c r="A41" s="23" t="s">
        <v>520</v>
      </c>
      <c r="B41" s="46" t="n">
        <v>1200</v>
      </c>
      <c r="C41" s="25" t="s">
        <v>490</v>
      </c>
      <c r="D41" s="27" t="n">
        <v>125383</v>
      </c>
      <c r="E41" s="27" t="n">
        <v>102354</v>
      </c>
      <c r="F41" s="27" t="n">
        <v>23029</v>
      </c>
      <c r="G41" s="23"/>
    </row>
    <row r="42" customFormat="false" ht="15" hidden="false" customHeight="false" outlineLevel="0" collapsed="false">
      <c r="A42" s="5" t="s">
        <v>521</v>
      </c>
      <c r="B42" s="14" t="n">
        <v>549</v>
      </c>
      <c r="C42" s="21" t="s">
        <v>496</v>
      </c>
      <c r="D42" s="6" t="n">
        <v>170247</v>
      </c>
      <c r="E42" s="6" t="n">
        <v>150000</v>
      </c>
      <c r="F42" s="6" t="n">
        <v>20247</v>
      </c>
      <c r="G42" s="5"/>
    </row>
    <row r="43" customFormat="false" ht="15" hidden="false" customHeight="false" outlineLevel="0" collapsed="false">
      <c r="A43" s="23" t="s">
        <v>522</v>
      </c>
      <c r="B43" s="46" t="n">
        <v>145</v>
      </c>
      <c r="C43" s="25" t="s">
        <v>485</v>
      </c>
      <c r="D43" s="27" t="n">
        <v>16596</v>
      </c>
      <c r="E43" s="27" t="n">
        <v>20103</v>
      </c>
      <c r="F43" s="27" t="n">
        <v>-3507</v>
      </c>
      <c r="G43" s="23"/>
    </row>
    <row r="44" customFormat="false" ht="15" hidden="false" customHeight="false" outlineLevel="0" collapsed="false">
      <c r="A44" s="5" t="s">
        <v>522</v>
      </c>
      <c r="B44" s="14" t="n">
        <v>161</v>
      </c>
      <c r="C44" s="21" t="s">
        <v>494</v>
      </c>
      <c r="D44" s="6" t="n">
        <v>20739</v>
      </c>
      <c r="E44" s="6" t="n">
        <v>20049</v>
      </c>
      <c r="F44" s="6" t="n">
        <v>690</v>
      </c>
      <c r="G44" s="5"/>
    </row>
    <row r="45" customFormat="false" ht="15" hidden="false" customHeight="false" outlineLevel="0" collapsed="false">
      <c r="A45" s="23" t="s">
        <v>522</v>
      </c>
      <c r="B45" s="46" t="n">
        <v>1304</v>
      </c>
      <c r="C45" s="25" t="s">
        <v>523</v>
      </c>
      <c r="D45" s="27" t="n">
        <v>10380</v>
      </c>
      <c r="E45" s="27" t="n">
        <v>149932</v>
      </c>
      <c r="F45" s="27" t="n">
        <v>-139552</v>
      </c>
      <c r="G45" s="23" t="s">
        <v>493</v>
      </c>
    </row>
    <row r="46" customFormat="false" ht="15" hidden="false" customHeight="false" outlineLevel="0" collapsed="false">
      <c r="A46" s="5" t="s">
        <v>524</v>
      </c>
      <c r="B46" s="14" t="n">
        <v>1000</v>
      </c>
      <c r="C46" s="21" t="s">
        <v>308</v>
      </c>
      <c r="D46" s="6" t="n">
        <v>160318</v>
      </c>
      <c r="E46" s="6" t="n">
        <v>150851</v>
      </c>
      <c r="F46" s="6" t="n">
        <v>9467</v>
      </c>
      <c r="G46" s="5"/>
    </row>
    <row r="47" customFormat="false" ht="15" hidden="false" customHeight="false" outlineLevel="0" collapsed="false">
      <c r="A47" s="23" t="s">
        <v>525</v>
      </c>
      <c r="B47" s="46" t="n">
        <v>167</v>
      </c>
      <c r="C47" s="25" t="s">
        <v>485</v>
      </c>
      <c r="D47" s="27" t="n">
        <v>14669</v>
      </c>
      <c r="E47" s="27" t="n">
        <v>10050</v>
      </c>
      <c r="F47" s="27" t="n">
        <v>4619</v>
      </c>
      <c r="G47" s="23"/>
    </row>
    <row r="48" customFormat="false" ht="15" hidden="false" customHeight="false" outlineLevel="0" collapsed="false">
      <c r="A48" s="5" t="s">
        <v>526</v>
      </c>
      <c r="B48" s="14" t="n">
        <v>14700</v>
      </c>
      <c r="C48" s="21" t="s">
        <v>527</v>
      </c>
      <c r="D48" s="6" t="n">
        <v>935247</v>
      </c>
      <c r="E48" s="6" t="n">
        <v>602520</v>
      </c>
      <c r="F48" s="6" t="n">
        <v>332727</v>
      </c>
      <c r="G48" s="5" t="s">
        <v>528</v>
      </c>
    </row>
    <row r="49" customFormat="false" ht="15" hidden="false" customHeight="false" outlineLevel="0" collapsed="false">
      <c r="A49" s="23" t="s">
        <v>529</v>
      </c>
      <c r="B49" s="46" t="n">
        <v>600</v>
      </c>
      <c r="C49" s="25" t="s">
        <v>488</v>
      </c>
      <c r="D49" s="27" t="n">
        <v>90567</v>
      </c>
      <c r="E49" s="27" t="n">
        <v>88224</v>
      </c>
      <c r="F49" s="27" t="n">
        <v>2343</v>
      </c>
      <c r="G49" s="23"/>
    </row>
    <row r="50" customFormat="false" ht="15" hidden="false" customHeight="false" outlineLevel="0" collapsed="false">
      <c r="A50" s="5" t="s">
        <v>529</v>
      </c>
      <c r="B50" s="14" t="n">
        <v>400</v>
      </c>
      <c r="C50" s="21" t="s">
        <v>488</v>
      </c>
      <c r="D50" s="6" t="n">
        <v>60378</v>
      </c>
      <c r="E50" s="6" t="n">
        <v>58816</v>
      </c>
      <c r="F50" s="6" t="n">
        <v>1562</v>
      </c>
      <c r="G50" s="5"/>
    </row>
    <row r="51" customFormat="false" ht="15" hidden="false" customHeight="false" outlineLevel="0" collapsed="false">
      <c r="A51" s="23" t="s">
        <v>530</v>
      </c>
      <c r="B51" s="46" t="n">
        <v>4100</v>
      </c>
      <c r="C51" s="25" t="s">
        <v>531</v>
      </c>
      <c r="D51" s="27" t="n">
        <v>485646</v>
      </c>
      <c r="E51" s="27" t="n">
        <v>501289</v>
      </c>
      <c r="F51" s="27" t="n">
        <v>-15643</v>
      </c>
      <c r="G51" s="23"/>
    </row>
    <row r="52" customFormat="false" ht="15" hidden="false" customHeight="false" outlineLevel="0" collapsed="false">
      <c r="A52" s="5" t="s">
        <v>532</v>
      </c>
      <c r="B52" s="14" t="n">
        <v>300</v>
      </c>
      <c r="C52" s="21" t="s">
        <v>287</v>
      </c>
      <c r="D52" s="6" t="n">
        <v>96908</v>
      </c>
      <c r="E52" s="6" t="n">
        <v>96920</v>
      </c>
      <c r="F52" s="6" t="n">
        <v>-12</v>
      </c>
      <c r="G52" s="5"/>
    </row>
    <row r="53" customFormat="false" ht="15" hidden="false" customHeight="false" outlineLevel="0" collapsed="false">
      <c r="A53" s="23" t="s">
        <v>76</v>
      </c>
      <c r="B53" s="46" t="n">
        <v>500</v>
      </c>
      <c r="C53" s="25" t="s">
        <v>511</v>
      </c>
      <c r="D53" s="27" t="n">
        <v>106928</v>
      </c>
      <c r="E53" s="27" t="n">
        <v>107850</v>
      </c>
      <c r="F53" s="27" t="n">
        <v>-922</v>
      </c>
      <c r="G53" s="23"/>
    </row>
    <row r="54" customFormat="false" ht="15" hidden="false" customHeight="false" outlineLevel="0" collapsed="false">
      <c r="A54" s="5" t="s">
        <v>76</v>
      </c>
      <c r="B54" s="14" t="n">
        <v>700</v>
      </c>
      <c r="C54" s="21" t="s">
        <v>333</v>
      </c>
      <c r="D54" s="6" t="n">
        <v>149769</v>
      </c>
      <c r="E54" s="6" t="n">
        <v>141035</v>
      </c>
      <c r="F54" s="6" t="n">
        <v>8734</v>
      </c>
      <c r="G54" s="5"/>
    </row>
    <row r="55" customFormat="false" ht="15" hidden="false" customHeight="false" outlineLevel="0" collapsed="false">
      <c r="A55" s="11" t="s">
        <v>533</v>
      </c>
      <c r="B55" s="47"/>
      <c r="C55" s="47"/>
      <c r="D55" s="9" t="n">
        <f aca="false">SUM(D6:D54)</f>
        <v>6855897</v>
      </c>
      <c r="E55" s="9" t="n">
        <f aca="false">SUM(E6:E54)</f>
        <v>6253504</v>
      </c>
      <c r="F55" s="9" t="n">
        <f aca="false">SUM(F6:F54)</f>
        <v>602393</v>
      </c>
      <c r="G55" s="47"/>
    </row>
    <row r="57" customFormat="false" ht="15" hidden="false" customHeight="false" outlineLevel="0" collapsed="false">
      <c r="A57" s="3" t="s">
        <v>534</v>
      </c>
      <c r="B57" s="3"/>
      <c r="C57" s="3"/>
      <c r="D57" s="3"/>
      <c r="E57" s="3"/>
      <c r="F57" s="3"/>
      <c r="G57" s="3"/>
    </row>
    <row r="58" customFormat="false" ht="15" hidden="false" customHeight="false" outlineLevel="0" collapsed="false">
      <c r="A58" s="4" t="s">
        <v>60</v>
      </c>
      <c r="B58" s="4" t="s">
        <v>61</v>
      </c>
      <c r="C58" s="4" t="s">
        <v>196</v>
      </c>
      <c r="D58" s="4" t="s">
        <v>480</v>
      </c>
      <c r="E58" s="4" t="s">
        <v>481</v>
      </c>
      <c r="F58" s="4" t="s">
        <v>482</v>
      </c>
      <c r="G58" s="4" t="s">
        <v>483</v>
      </c>
    </row>
    <row r="59" customFormat="false" ht="15" hidden="false" customHeight="false" outlineLevel="0" collapsed="false">
      <c r="A59" s="13" t="s">
        <v>535</v>
      </c>
      <c r="B59" s="18" t="s">
        <v>161</v>
      </c>
      <c r="C59" s="21" t="s">
        <v>161</v>
      </c>
      <c r="D59" s="6" t="n">
        <v>1304688</v>
      </c>
      <c r="E59" s="6" t="n">
        <v>1312781</v>
      </c>
      <c r="F59" s="6" t="n">
        <v>-8094</v>
      </c>
      <c r="G59" s="13" t="s">
        <v>536</v>
      </c>
    </row>
    <row r="60" customFormat="false" ht="15" hidden="false" customHeight="false" outlineLevel="0" collapsed="false">
      <c r="A60" s="48" t="s">
        <v>537</v>
      </c>
      <c r="B60" s="46" t="n">
        <v>383</v>
      </c>
      <c r="C60" s="25" t="s">
        <v>506</v>
      </c>
      <c r="D60" s="27" t="n">
        <v>45057</v>
      </c>
      <c r="E60" s="27" t="n">
        <v>84240</v>
      </c>
      <c r="F60" s="27" t="n">
        <v>-39183</v>
      </c>
      <c r="G60" s="48" t="s">
        <v>538</v>
      </c>
    </row>
    <row r="61" customFormat="false" ht="15" hidden="false" customHeight="false" outlineLevel="0" collapsed="false">
      <c r="A61" s="13" t="s">
        <v>539</v>
      </c>
      <c r="B61" s="14" t="n">
        <v>4750</v>
      </c>
      <c r="C61" s="21" t="s">
        <v>540</v>
      </c>
      <c r="D61" s="6" t="n">
        <v>496023</v>
      </c>
      <c r="E61" s="6" t="n">
        <v>506451</v>
      </c>
      <c r="F61" s="6" t="n">
        <v>-10428</v>
      </c>
      <c r="G61" s="13"/>
    </row>
    <row r="62" customFormat="false" ht="15" hidden="false" customHeight="false" outlineLevel="0" collapsed="false">
      <c r="A62" s="48" t="s">
        <v>541</v>
      </c>
      <c r="B62" s="46" t="n">
        <v>541</v>
      </c>
      <c r="C62" s="25" t="s">
        <v>542</v>
      </c>
      <c r="D62" s="27" t="n">
        <v>13464</v>
      </c>
      <c r="E62" s="27" t="n">
        <v>343782</v>
      </c>
      <c r="F62" s="27" t="n">
        <v>-330318</v>
      </c>
      <c r="G62" s="48" t="s">
        <v>493</v>
      </c>
    </row>
    <row r="63" customFormat="false" ht="15" hidden="false" customHeight="false" outlineLevel="0" collapsed="false">
      <c r="A63" s="13" t="s">
        <v>543</v>
      </c>
      <c r="B63" s="14" t="n">
        <v>1082</v>
      </c>
      <c r="C63" s="21" t="s">
        <v>542</v>
      </c>
      <c r="D63" s="6" t="n">
        <v>49</v>
      </c>
      <c r="E63" s="6" t="n">
        <v>0</v>
      </c>
      <c r="F63" s="6" t="n">
        <v>49</v>
      </c>
      <c r="G63" s="13" t="s">
        <v>544</v>
      </c>
    </row>
    <row r="64" customFormat="false" ht="15" hidden="false" customHeight="false" outlineLevel="0" collapsed="false">
      <c r="A64" s="48" t="s">
        <v>545</v>
      </c>
      <c r="B64" s="46" t="n">
        <v>1250000</v>
      </c>
      <c r="C64" s="25" t="s">
        <v>546</v>
      </c>
      <c r="D64" s="27" t="n">
        <v>1292969</v>
      </c>
      <c r="E64" s="27" t="n">
        <v>1250000</v>
      </c>
      <c r="F64" s="27" t="n">
        <v>42969</v>
      </c>
      <c r="G64" s="48"/>
    </row>
    <row r="65" customFormat="false" ht="15" hidden="false" customHeight="false" outlineLevel="0" collapsed="false">
      <c r="A65" s="13" t="s">
        <v>547</v>
      </c>
      <c r="B65" s="14" t="n">
        <v>653</v>
      </c>
      <c r="C65" s="21" t="s">
        <v>548</v>
      </c>
      <c r="D65" s="6" t="n">
        <v>113956</v>
      </c>
      <c r="E65" s="6" t="n">
        <v>95229</v>
      </c>
      <c r="F65" s="6" t="n">
        <v>18727</v>
      </c>
      <c r="G65" s="13"/>
    </row>
    <row r="66" customFormat="false" ht="15" hidden="false" customHeight="false" outlineLevel="0" collapsed="false">
      <c r="A66" s="11" t="s">
        <v>549</v>
      </c>
      <c r="B66" s="47"/>
      <c r="C66" s="47"/>
      <c r="D66" s="9" t="n">
        <f aca="false">SUM(D59:D65)</f>
        <v>3266206</v>
      </c>
      <c r="E66" s="9" t="n">
        <f aca="false">SUM(E59:E65)</f>
        <v>3592483</v>
      </c>
      <c r="F66" s="9" t="n">
        <f aca="false">SUM(F59:F65)</f>
        <v>-326278</v>
      </c>
      <c r="G66" s="47"/>
    </row>
    <row r="68" customFormat="false" ht="15" hidden="false" customHeight="false" outlineLevel="0" collapsed="false">
      <c r="A68" s="11" t="s">
        <v>550</v>
      </c>
      <c r="B68" s="47"/>
      <c r="C68" s="47"/>
      <c r="D68" s="47"/>
      <c r="E68" s="47"/>
      <c r="F68" s="9" t="n">
        <f aca="false">F57+F66</f>
        <v>-326278</v>
      </c>
      <c r="G68" s="47"/>
    </row>
    <row r="71" customFormat="false" ht="15" hidden="false" customHeight="false" outlineLevel="0" collapsed="false">
      <c r="A71" s="3" t="s">
        <v>551</v>
      </c>
      <c r="B71" s="3"/>
      <c r="C71" s="3"/>
      <c r="D71" s="3"/>
      <c r="E71" s="3"/>
      <c r="F71" s="3"/>
      <c r="G71" s="3"/>
    </row>
    <row r="72" customFormat="false" ht="15" hidden="false" customHeight="false" outlineLevel="0" collapsed="false">
      <c r="A72" s="4" t="s">
        <v>60</v>
      </c>
      <c r="B72" s="4" t="s">
        <v>552</v>
      </c>
      <c r="C72" s="4" t="s">
        <v>553</v>
      </c>
      <c r="D72" s="4" t="s">
        <v>554</v>
      </c>
      <c r="E72" s="4" t="s">
        <v>555</v>
      </c>
      <c r="F72" s="4" t="s">
        <v>556</v>
      </c>
      <c r="G72" s="4" t="s">
        <v>483</v>
      </c>
    </row>
    <row r="73" customFormat="false" ht="15" hidden="false" customHeight="false" outlineLevel="0" collapsed="false">
      <c r="A73" s="5" t="s">
        <v>295</v>
      </c>
      <c r="B73" s="6" t="n">
        <v>592122</v>
      </c>
      <c r="C73" s="6" t="n">
        <v>728251</v>
      </c>
      <c r="D73" s="6" t="n">
        <v>136129</v>
      </c>
      <c r="E73" s="6" t="n">
        <v>49702</v>
      </c>
      <c r="F73" s="6" t="n">
        <v>185832</v>
      </c>
      <c r="G73" s="5"/>
    </row>
    <row r="74" customFormat="false" ht="15" hidden="false" customHeight="false" outlineLevel="0" collapsed="false">
      <c r="A74" s="23" t="s">
        <v>272</v>
      </c>
      <c r="B74" s="27" t="n">
        <v>589339</v>
      </c>
      <c r="C74" s="27" t="n">
        <v>649218</v>
      </c>
      <c r="D74" s="27" t="n">
        <v>59880</v>
      </c>
      <c r="E74" s="27" t="n">
        <v>39180</v>
      </c>
      <c r="F74" s="27" t="n">
        <v>99060</v>
      </c>
      <c r="G74" s="23"/>
    </row>
    <row r="75" customFormat="false" ht="15" hidden="false" customHeight="false" outlineLevel="0" collapsed="false">
      <c r="A75" s="5" t="s">
        <v>322</v>
      </c>
      <c r="B75" s="6" t="n">
        <v>251389</v>
      </c>
      <c r="C75" s="6" t="n">
        <v>310974</v>
      </c>
      <c r="D75" s="6" t="n">
        <v>59584</v>
      </c>
      <c r="E75" s="6" t="n">
        <v>4081</v>
      </c>
      <c r="F75" s="6" t="n">
        <v>63665</v>
      </c>
      <c r="G75" s="5"/>
    </row>
    <row r="76" customFormat="false" ht="15" hidden="false" customHeight="false" outlineLevel="0" collapsed="false">
      <c r="A76" s="23" t="s">
        <v>391</v>
      </c>
      <c r="B76" s="27" t="n">
        <v>202221</v>
      </c>
      <c r="C76" s="27" t="n">
        <v>254221</v>
      </c>
      <c r="D76" s="27" t="n">
        <v>52000</v>
      </c>
      <c r="E76" s="27" t="n">
        <v>0</v>
      </c>
      <c r="F76" s="27" t="n">
        <v>52000</v>
      </c>
      <c r="G76" s="23"/>
    </row>
    <row r="77" customFormat="false" ht="15" hidden="false" customHeight="false" outlineLevel="0" collapsed="false">
      <c r="A77" s="5" t="s">
        <v>292</v>
      </c>
      <c r="B77" s="6" t="n">
        <v>302116</v>
      </c>
      <c r="C77" s="6" t="n">
        <v>302699</v>
      </c>
      <c r="D77" s="6" t="n">
        <v>583</v>
      </c>
      <c r="E77" s="6" t="n">
        <v>45600</v>
      </c>
      <c r="F77" s="6" t="n">
        <v>46183</v>
      </c>
      <c r="G77" s="5"/>
    </row>
    <row r="78" customFormat="false" ht="15" hidden="false" customHeight="false" outlineLevel="0" collapsed="false">
      <c r="A78" s="23" t="s">
        <v>317</v>
      </c>
      <c r="B78" s="27" t="n">
        <v>152052</v>
      </c>
      <c r="C78" s="27" t="n">
        <v>188671</v>
      </c>
      <c r="D78" s="27" t="n">
        <v>36619</v>
      </c>
      <c r="E78" s="27" t="n">
        <v>9450</v>
      </c>
      <c r="F78" s="27" t="n">
        <v>46069</v>
      </c>
      <c r="G78" s="23"/>
    </row>
    <row r="79" customFormat="false" ht="15" hidden="false" customHeight="false" outlineLevel="0" collapsed="false">
      <c r="A79" s="5" t="s">
        <v>325</v>
      </c>
      <c r="B79" s="6" t="n">
        <v>231964</v>
      </c>
      <c r="C79" s="6" t="n">
        <v>237146</v>
      </c>
      <c r="D79" s="6" t="n">
        <v>5182</v>
      </c>
      <c r="E79" s="6" t="n">
        <v>23750</v>
      </c>
      <c r="F79" s="6" t="n">
        <v>28932</v>
      </c>
      <c r="G79" s="5"/>
    </row>
    <row r="80" customFormat="false" ht="15" hidden="false" customHeight="false" outlineLevel="0" collapsed="false">
      <c r="A80" s="23" t="s">
        <v>76</v>
      </c>
      <c r="B80" s="27" t="n">
        <v>151294</v>
      </c>
      <c r="C80" s="27" t="n">
        <v>154733</v>
      </c>
      <c r="D80" s="27" t="n">
        <v>3439</v>
      </c>
      <c r="E80" s="27" t="n">
        <v>0</v>
      </c>
      <c r="F80" s="27" t="n">
        <v>3439</v>
      </c>
      <c r="G80" s="23"/>
    </row>
    <row r="81" customFormat="false" ht="15" hidden="false" customHeight="false" outlineLevel="0" collapsed="false">
      <c r="A81" s="5" t="s">
        <v>253</v>
      </c>
      <c r="B81" s="6" t="n">
        <v>404418</v>
      </c>
      <c r="C81" s="6" t="n">
        <v>392306</v>
      </c>
      <c r="D81" s="6" t="n">
        <v>-12113</v>
      </c>
      <c r="E81" s="6" t="n">
        <v>0</v>
      </c>
      <c r="F81" s="6" t="n">
        <v>-12113</v>
      </c>
      <c r="G81" s="5"/>
    </row>
    <row r="82" customFormat="false" ht="15" hidden="false" customHeight="false" outlineLevel="0" collapsed="false">
      <c r="A82" s="23" t="s">
        <v>280</v>
      </c>
      <c r="B82" s="27" t="n">
        <v>295823</v>
      </c>
      <c r="C82" s="27" t="n">
        <v>273273</v>
      </c>
      <c r="D82" s="27" t="n">
        <v>-22550</v>
      </c>
      <c r="E82" s="27" t="n">
        <v>9754</v>
      </c>
      <c r="F82" s="27" t="n">
        <v>-12796</v>
      </c>
      <c r="G82" s="23"/>
    </row>
    <row r="83" customFormat="false" ht="15" hidden="false" customHeight="false" outlineLevel="0" collapsed="false">
      <c r="A83" s="5" t="s">
        <v>328</v>
      </c>
      <c r="B83" s="6" t="n">
        <v>197973</v>
      </c>
      <c r="C83" s="6" t="n">
        <v>161051</v>
      </c>
      <c r="D83" s="6" t="n">
        <v>-36922</v>
      </c>
      <c r="E83" s="6" t="n">
        <v>2834</v>
      </c>
      <c r="F83" s="6" t="n">
        <v>-34088</v>
      </c>
      <c r="G83" s="5"/>
    </row>
    <row r="84" customFormat="false" ht="15" hidden="false" customHeight="false" outlineLevel="0" collapsed="false">
      <c r="A84" s="23" t="s">
        <v>255</v>
      </c>
      <c r="B84" s="27" t="n">
        <v>298586</v>
      </c>
      <c r="C84" s="27" t="n">
        <v>219496</v>
      </c>
      <c r="D84" s="27" t="n">
        <v>-79090</v>
      </c>
      <c r="E84" s="27" t="n">
        <v>0</v>
      </c>
      <c r="F84" s="27" t="n">
        <v>-79090</v>
      </c>
      <c r="G84" s="23"/>
    </row>
    <row r="85" customFormat="false" ht="15" hidden="false" customHeight="false" outlineLevel="0" collapsed="false">
      <c r="A85" s="5" t="s">
        <v>294</v>
      </c>
      <c r="B85" s="6" t="n">
        <v>198993</v>
      </c>
      <c r="C85" s="6" t="n">
        <v>19899</v>
      </c>
      <c r="D85" s="6" t="n">
        <v>-179094</v>
      </c>
      <c r="E85" s="6" t="n">
        <v>7783</v>
      </c>
      <c r="F85" s="6" t="n">
        <v>-171311</v>
      </c>
      <c r="G85" s="5"/>
    </row>
    <row r="86" customFormat="false" ht="15" hidden="false" customHeight="false" outlineLevel="0" collapsed="false">
      <c r="A86" s="11" t="s">
        <v>557</v>
      </c>
      <c r="B86" s="9" t="n">
        <f aca="false">SUM(B73:B85)</f>
        <v>3868290</v>
      </c>
      <c r="C86" s="9" t="n">
        <f aca="false">SUM(C73:C85)</f>
        <v>3891938</v>
      </c>
      <c r="D86" s="9" t="n">
        <f aca="false">SUM(D73:D85)</f>
        <v>23647</v>
      </c>
      <c r="E86" s="9" t="n">
        <f aca="false">SUM(E73:E85)</f>
        <v>192134</v>
      </c>
      <c r="F86" s="9" t="n">
        <f aca="false">SUM(F73:F85)</f>
        <v>215782</v>
      </c>
      <c r="G86" s="47"/>
    </row>
    <row r="88" customFormat="false" ht="49.5" hidden="false" customHeight="true" outlineLevel="0" collapsed="false">
      <c r="A88" s="49" t="s">
        <v>558</v>
      </c>
      <c r="B88" s="49"/>
      <c r="C88" s="49"/>
      <c r="D88" s="49"/>
      <c r="E88" s="49"/>
      <c r="F88" s="49"/>
      <c r="G88" s="49"/>
    </row>
  </sheetData>
  <mergeCells count="6">
    <mergeCell ref="A1:G1"/>
    <mergeCell ref="A2:G2"/>
    <mergeCell ref="A4:G4"/>
    <mergeCell ref="A57:G57"/>
    <mergeCell ref="A71:G71"/>
    <mergeCell ref="A88:G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1" t="s">
        <v>559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560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561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60</v>
      </c>
      <c r="B5" s="4" t="s">
        <v>198</v>
      </c>
      <c r="C5" s="4" t="s">
        <v>562</v>
      </c>
      <c r="D5" s="4" t="s">
        <v>563</v>
      </c>
      <c r="E5" s="4" t="s">
        <v>564</v>
      </c>
      <c r="F5" s="4" t="s">
        <v>565</v>
      </c>
    </row>
    <row r="6" customFormat="false" ht="15" hidden="false" customHeight="false" outlineLevel="0" collapsed="false">
      <c r="A6" s="13" t="s">
        <v>78</v>
      </c>
      <c r="B6" s="21" t="s">
        <v>205</v>
      </c>
      <c r="C6" s="14" t="n">
        <v>82060</v>
      </c>
      <c r="D6" s="50" t="n">
        <v>5</v>
      </c>
      <c r="E6" s="21" t="s">
        <v>422</v>
      </c>
      <c r="F6" s="21" t="s">
        <v>208</v>
      </c>
    </row>
    <row r="7" customFormat="false" ht="15" hidden="false" customHeight="false" outlineLevel="0" collapsed="false">
      <c r="A7" s="48" t="s">
        <v>282</v>
      </c>
      <c r="B7" s="25" t="s">
        <v>254</v>
      </c>
      <c r="C7" s="46" t="n">
        <v>61228</v>
      </c>
      <c r="D7" s="51" t="n">
        <v>6</v>
      </c>
      <c r="E7" s="25" t="s">
        <v>475</v>
      </c>
      <c r="F7" s="25" t="s">
        <v>319</v>
      </c>
    </row>
    <row r="8" customFormat="false" ht="15" hidden="false" customHeight="false" outlineLevel="0" collapsed="false">
      <c r="A8" s="13" t="s">
        <v>70</v>
      </c>
      <c r="B8" s="21" t="s">
        <v>205</v>
      </c>
      <c r="C8" s="14" t="n">
        <v>55488</v>
      </c>
      <c r="D8" s="50" t="n">
        <v>9</v>
      </c>
      <c r="E8" s="21" t="s">
        <v>451</v>
      </c>
      <c r="F8" s="21" t="s">
        <v>222</v>
      </c>
    </row>
    <row r="9" customFormat="false" ht="15" hidden="false" customHeight="false" outlineLevel="0" collapsed="false">
      <c r="A9" s="48" t="s">
        <v>295</v>
      </c>
      <c r="B9" s="25" t="s">
        <v>254</v>
      </c>
      <c r="C9" s="46" t="n">
        <v>49702</v>
      </c>
      <c r="D9" s="51" t="n">
        <v>2</v>
      </c>
      <c r="E9" s="25" t="s">
        <v>360</v>
      </c>
      <c r="F9" s="25" t="s">
        <v>300</v>
      </c>
    </row>
    <row r="10" customFormat="false" ht="15" hidden="false" customHeight="false" outlineLevel="0" collapsed="false">
      <c r="A10" s="13" t="s">
        <v>292</v>
      </c>
      <c r="B10" s="21" t="s">
        <v>254</v>
      </c>
      <c r="C10" s="14" t="n">
        <v>45600</v>
      </c>
      <c r="D10" s="50" t="n">
        <v>2</v>
      </c>
      <c r="E10" s="21" t="s">
        <v>362</v>
      </c>
      <c r="F10" s="21" t="s">
        <v>301</v>
      </c>
    </row>
    <row r="11" customFormat="false" ht="15" hidden="false" customHeight="false" outlineLevel="0" collapsed="false">
      <c r="A11" s="48" t="s">
        <v>81</v>
      </c>
      <c r="B11" s="25" t="s">
        <v>205</v>
      </c>
      <c r="C11" s="46" t="n">
        <v>41391</v>
      </c>
      <c r="D11" s="51" t="n">
        <v>8</v>
      </c>
      <c r="E11" s="25" t="s">
        <v>430</v>
      </c>
      <c r="F11" s="25" t="s">
        <v>210</v>
      </c>
    </row>
    <row r="12" customFormat="false" ht="15" hidden="false" customHeight="false" outlineLevel="0" collapsed="false">
      <c r="A12" s="13" t="s">
        <v>272</v>
      </c>
      <c r="B12" s="21" t="s">
        <v>254</v>
      </c>
      <c r="C12" s="14" t="n">
        <v>39180</v>
      </c>
      <c r="D12" s="50" t="n">
        <v>6</v>
      </c>
      <c r="E12" s="21" t="s">
        <v>432</v>
      </c>
      <c r="F12" s="21" t="s">
        <v>284</v>
      </c>
    </row>
    <row r="13" customFormat="false" ht="15" hidden="false" customHeight="false" outlineLevel="0" collapsed="false">
      <c r="A13" s="48" t="s">
        <v>325</v>
      </c>
      <c r="B13" s="25" t="s">
        <v>254</v>
      </c>
      <c r="C13" s="46" t="n">
        <v>23750</v>
      </c>
      <c r="D13" s="51" t="n">
        <v>2</v>
      </c>
      <c r="E13" s="25" t="s">
        <v>412</v>
      </c>
      <c r="F13" s="25" t="s">
        <v>339</v>
      </c>
    </row>
    <row r="14" customFormat="false" ht="15" hidden="false" customHeight="false" outlineLevel="0" collapsed="false">
      <c r="A14" s="13" t="s">
        <v>327</v>
      </c>
      <c r="B14" s="21" t="s">
        <v>254</v>
      </c>
      <c r="C14" s="14" t="n">
        <v>18850</v>
      </c>
      <c r="D14" s="50" t="n">
        <v>3</v>
      </c>
      <c r="E14" s="21" t="s">
        <v>476</v>
      </c>
      <c r="F14" s="21" t="s">
        <v>355</v>
      </c>
    </row>
    <row r="15" customFormat="false" ht="15" hidden="false" customHeight="false" outlineLevel="0" collapsed="false">
      <c r="A15" s="48" t="s">
        <v>88</v>
      </c>
      <c r="B15" s="25" t="s">
        <v>205</v>
      </c>
      <c r="C15" s="46" t="n">
        <v>12965</v>
      </c>
      <c r="D15" s="51" t="n">
        <v>9</v>
      </c>
      <c r="E15" s="25" t="s">
        <v>457</v>
      </c>
      <c r="F15" s="25" t="s">
        <v>219</v>
      </c>
    </row>
    <row r="16" customFormat="false" ht="15" hidden="false" customHeight="false" outlineLevel="0" collapsed="false">
      <c r="A16" s="13" t="s">
        <v>95</v>
      </c>
      <c r="B16" s="21" t="s">
        <v>205</v>
      </c>
      <c r="C16" s="14" t="n">
        <v>11001</v>
      </c>
      <c r="D16" s="50" t="n">
        <v>3</v>
      </c>
      <c r="E16" s="21" t="s">
        <v>256</v>
      </c>
      <c r="F16" s="21" t="s">
        <v>211</v>
      </c>
    </row>
    <row r="17" customFormat="false" ht="15" hidden="false" customHeight="false" outlineLevel="0" collapsed="false">
      <c r="A17" s="48" t="s">
        <v>280</v>
      </c>
      <c r="B17" s="25" t="s">
        <v>254</v>
      </c>
      <c r="C17" s="46" t="n">
        <v>9754</v>
      </c>
      <c r="D17" s="51" t="n">
        <v>7</v>
      </c>
      <c r="E17" s="25" t="s">
        <v>368</v>
      </c>
      <c r="F17" s="25" t="s">
        <v>285</v>
      </c>
    </row>
    <row r="18" customFormat="false" ht="15" hidden="false" customHeight="false" outlineLevel="0" collapsed="false">
      <c r="A18" s="13" t="s">
        <v>317</v>
      </c>
      <c r="B18" s="21" t="s">
        <v>254</v>
      </c>
      <c r="C18" s="14" t="n">
        <v>9450</v>
      </c>
      <c r="D18" s="50" t="n">
        <v>1</v>
      </c>
      <c r="E18" s="21" t="s">
        <v>359</v>
      </c>
      <c r="F18" s="21" t="s">
        <v>359</v>
      </c>
    </row>
    <row r="19" customFormat="false" ht="15" hidden="false" customHeight="false" outlineLevel="0" collapsed="false">
      <c r="A19" s="48" t="s">
        <v>294</v>
      </c>
      <c r="B19" s="25" t="s">
        <v>254</v>
      </c>
      <c r="C19" s="46" t="n">
        <v>7783</v>
      </c>
      <c r="D19" s="51" t="n">
        <v>15</v>
      </c>
      <c r="E19" s="25" t="s">
        <v>432</v>
      </c>
      <c r="F19" s="25" t="s">
        <v>338</v>
      </c>
    </row>
    <row r="20" customFormat="false" ht="15" hidden="false" customHeight="false" outlineLevel="0" collapsed="false">
      <c r="A20" s="13" t="s">
        <v>331</v>
      </c>
      <c r="B20" s="21" t="s">
        <v>254</v>
      </c>
      <c r="C20" s="14" t="n">
        <v>5208</v>
      </c>
      <c r="D20" s="50" t="n">
        <v>1</v>
      </c>
      <c r="E20" s="21" t="s">
        <v>353</v>
      </c>
      <c r="F20" s="21" t="s">
        <v>353</v>
      </c>
    </row>
    <row r="21" customFormat="false" ht="15" hidden="false" customHeight="false" outlineLevel="0" collapsed="false">
      <c r="A21" s="48" t="s">
        <v>329</v>
      </c>
      <c r="B21" s="25" t="s">
        <v>254</v>
      </c>
      <c r="C21" s="46" t="n">
        <v>4275</v>
      </c>
      <c r="D21" s="51" t="n">
        <v>2</v>
      </c>
      <c r="E21" s="25" t="s">
        <v>436</v>
      </c>
      <c r="F21" s="25" t="s">
        <v>361</v>
      </c>
    </row>
    <row r="22" customFormat="false" ht="15" hidden="false" customHeight="false" outlineLevel="0" collapsed="false">
      <c r="A22" s="13" t="s">
        <v>322</v>
      </c>
      <c r="B22" s="21" t="s">
        <v>254</v>
      </c>
      <c r="C22" s="14" t="n">
        <v>4081</v>
      </c>
      <c r="D22" s="50" t="n">
        <v>8</v>
      </c>
      <c r="E22" s="21" t="s">
        <v>444</v>
      </c>
      <c r="F22" s="21" t="s">
        <v>321</v>
      </c>
    </row>
    <row r="23" customFormat="false" ht="15" hidden="false" customHeight="false" outlineLevel="0" collapsed="false">
      <c r="A23" s="48" t="s">
        <v>101</v>
      </c>
      <c r="B23" s="25" t="s">
        <v>205</v>
      </c>
      <c r="C23" s="46" t="n">
        <v>3750</v>
      </c>
      <c r="D23" s="51" t="n">
        <v>2</v>
      </c>
      <c r="E23" s="25" t="s">
        <v>244</v>
      </c>
      <c r="F23" s="25" t="s">
        <v>223</v>
      </c>
    </row>
    <row r="24" customFormat="false" ht="15" hidden="false" customHeight="false" outlineLevel="0" collapsed="false">
      <c r="A24" s="13" t="s">
        <v>288</v>
      </c>
      <c r="B24" s="21" t="s">
        <v>254</v>
      </c>
      <c r="C24" s="14" t="n">
        <v>3700</v>
      </c>
      <c r="D24" s="50" t="n">
        <v>5</v>
      </c>
      <c r="E24" s="21" t="s">
        <v>475</v>
      </c>
      <c r="F24" s="21" t="s">
        <v>287</v>
      </c>
    </row>
    <row r="25" customFormat="false" ht="15" hidden="false" customHeight="false" outlineLevel="0" collapsed="false">
      <c r="A25" s="48" t="s">
        <v>428</v>
      </c>
      <c r="B25" s="25" t="s">
        <v>254</v>
      </c>
      <c r="C25" s="46" t="n">
        <v>3000</v>
      </c>
      <c r="D25" s="51" t="n">
        <v>2</v>
      </c>
      <c r="E25" s="25" t="s">
        <v>453</v>
      </c>
      <c r="F25" s="25" t="s">
        <v>427</v>
      </c>
    </row>
    <row r="26" customFormat="false" ht="15" hidden="false" customHeight="false" outlineLevel="0" collapsed="false">
      <c r="A26" s="13" t="s">
        <v>328</v>
      </c>
      <c r="B26" s="21" t="s">
        <v>254</v>
      </c>
      <c r="C26" s="14" t="n">
        <v>2834</v>
      </c>
      <c r="D26" s="50" t="n">
        <v>1</v>
      </c>
      <c r="E26" s="21" t="s">
        <v>363</v>
      </c>
      <c r="F26" s="21" t="s">
        <v>363</v>
      </c>
    </row>
    <row r="27" customFormat="false" ht="15" hidden="false" customHeight="false" outlineLevel="0" collapsed="false">
      <c r="A27" s="48" t="s">
        <v>326</v>
      </c>
      <c r="B27" s="25" t="s">
        <v>254</v>
      </c>
      <c r="C27" s="46" t="n">
        <v>2166</v>
      </c>
      <c r="D27" s="51" t="n">
        <v>1</v>
      </c>
      <c r="E27" s="25" t="s">
        <v>356</v>
      </c>
      <c r="F27" s="25" t="s">
        <v>356</v>
      </c>
    </row>
    <row r="28" customFormat="false" ht="15" hidden="false" customHeight="false" outlineLevel="0" collapsed="false">
      <c r="A28" s="13" t="s">
        <v>468</v>
      </c>
      <c r="B28" s="21" t="s">
        <v>205</v>
      </c>
      <c r="C28" s="14" t="n">
        <v>2000</v>
      </c>
      <c r="D28" s="50" t="n">
        <v>1</v>
      </c>
      <c r="E28" s="21" t="s">
        <v>469</v>
      </c>
      <c r="F28" s="21" t="s">
        <v>469</v>
      </c>
    </row>
    <row r="29" customFormat="false" ht="15" hidden="false" customHeight="false" outlineLevel="0" collapsed="false">
      <c r="A29" s="11" t="s">
        <v>566</v>
      </c>
      <c r="B29" s="47"/>
      <c r="C29" s="15" t="n">
        <f aca="false">SUM(C6:C28)</f>
        <v>499216</v>
      </c>
      <c r="D29" s="11" t="n">
        <f aca="false">SUM(D6:D28)</f>
        <v>101</v>
      </c>
      <c r="E29" s="47"/>
      <c r="F29" s="47"/>
    </row>
    <row r="31" customFormat="false" ht="15" hidden="false" customHeight="false" outlineLevel="0" collapsed="false">
      <c r="A31" s="3" t="s">
        <v>567</v>
      </c>
      <c r="B31" s="3"/>
      <c r="C31" s="3"/>
      <c r="D31" s="3"/>
      <c r="E31" s="3"/>
      <c r="F31" s="3"/>
    </row>
    <row r="32" customFormat="false" ht="15" hidden="false" customHeight="false" outlineLevel="0" collapsed="false">
      <c r="A32" s="4" t="s">
        <v>60</v>
      </c>
      <c r="B32" s="4" t="s">
        <v>198</v>
      </c>
      <c r="C32" s="4" t="s">
        <v>562</v>
      </c>
      <c r="D32" s="4"/>
      <c r="E32" s="4"/>
      <c r="F32" s="4"/>
    </row>
    <row r="33" customFormat="false" ht="15" hidden="false" customHeight="false" outlineLevel="0" collapsed="false">
      <c r="A33" s="13" t="s">
        <v>76</v>
      </c>
      <c r="B33" s="21" t="s">
        <v>205</v>
      </c>
      <c r="C33" s="14" t="n">
        <v>203775</v>
      </c>
      <c r="D33" s="13"/>
      <c r="E33" s="13"/>
      <c r="F33" s="13"/>
    </row>
    <row r="34" customFormat="false" ht="15" hidden="false" customHeight="false" outlineLevel="0" collapsed="false">
      <c r="A34" s="48" t="s">
        <v>530</v>
      </c>
      <c r="B34" s="25" t="s">
        <v>254</v>
      </c>
      <c r="C34" s="46" t="n">
        <v>122000</v>
      </c>
      <c r="D34" s="48"/>
      <c r="E34" s="48"/>
      <c r="F34" s="48"/>
    </row>
    <row r="35" customFormat="false" ht="15" hidden="false" customHeight="false" outlineLevel="0" collapsed="false">
      <c r="A35" s="13" t="s">
        <v>79</v>
      </c>
      <c r="B35" s="21" t="s">
        <v>205</v>
      </c>
      <c r="C35" s="14" t="n">
        <v>70207</v>
      </c>
      <c r="D35" s="13"/>
      <c r="E35" s="13"/>
      <c r="F35" s="13"/>
    </row>
    <row r="36" customFormat="false" ht="15" hidden="false" customHeight="false" outlineLevel="0" collapsed="false">
      <c r="A36" s="48" t="s">
        <v>518</v>
      </c>
      <c r="B36" s="25" t="s">
        <v>254</v>
      </c>
      <c r="C36" s="46" t="n">
        <v>64750</v>
      </c>
      <c r="D36" s="48"/>
      <c r="E36" s="48"/>
      <c r="F36" s="48"/>
    </row>
    <row r="37" customFormat="false" ht="15" hidden="false" customHeight="false" outlineLevel="0" collapsed="false">
      <c r="A37" s="13" t="s">
        <v>513</v>
      </c>
      <c r="B37" s="21" t="s">
        <v>254</v>
      </c>
      <c r="C37" s="14" t="n">
        <v>40701</v>
      </c>
      <c r="D37" s="13"/>
      <c r="E37" s="13"/>
      <c r="F37" s="13"/>
    </row>
    <row r="38" customFormat="false" ht="15" hidden="false" customHeight="false" outlineLevel="0" collapsed="false">
      <c r="A38" s="48" t="s">
        <v>114</v>
      </c>
      <c r="B38" s="25" t="s">
        <v>205</v>
      </c>
      <c r="C38" s="46" t="n">
        <v>18922</v>
      </c>
      <c r="D38" s="48"/>
      <c r="E38" s="48"/>
      <c r="F38" s="48"/>
    </row>
    <row r="39" customFormat="false" ht="15" hidden="false" customHeight="false" outlineLevel="0" collapsed="false">
      <c r="A39" s="13" t="s">
        <v>113</v>
      </c>
      <c r="B39" s="21" t="s">
        <v>205</v>
      </c>
      <c r="C39" s="14" t="n">
        <v>16625</v>
      </c>
      <c r="D39" s="13"/>
      <c r="E39" s="13"/>
      <c r="F39" s="13"/>
    </row>
    <row r="40" customFormat="false" ht="15" hidden="false" customHeight="false" outlineLevel="0" collapsed="false">
      <c r="A40" s="48" t="s">
        <v>116</v>
      </c>
      <c r="B40" s="25" t="s">
        <v>205</v>
      </c>
      <c r="C40" s="46" t="n">
        <v>11900</v>
      </c>
      <c r="D40" s="48"/>
      <c r="E40" s="48"/>
      <c r="F40" s="48"/>
    </row>
    <row r="41" customFormat="false" ht="15" hidden="false" customHeight="false" outlineLevel="0" collapsed="false">
      <c r="A41" s="13" t="s">
        <v>532</v>
      </c>
      <c r="B41" s="21" t="s">
        <v>254</v>
      </c>
      <c r="C41" s="14" t="n">
        <v>6135</v>
      </c>
      <c r="D41" s="13"/>
      <c r="E41" s="13"/>
      <c r="F41" s="13"/>
    </row>
    <row r="42" customFormat="false" ht="15" hidden="false" customHeight="false" outlineLevel="0" collapsed="false">
      <c r="A42" s="48" t="s">
        <v>106</v>
      </c>
      <c r="B42" s="25" t="s">
        <v>205</v>
      </c>
      <c r="C42" s="46" t="n">
        <v>3485</v>
      </c>
      <c r="D42" s="48"/>
      <c r="E42" s="48"/>
      <c r="F42" s="48"/>
    </row>
    <row r="43" customFormat="false" ht="15" hidden="false" customHeight="false" outlineLevel="0" collapsed="false">
      <c r="A43" s="13" t="s">
        <v>529</v>
      </c>
      <c r="B43" s="21" t="s">
        <v>254</v>
      </c>
      <c r="C43" s="14" t="n">
        <v>1153</v>
      </c>
      <c r="D43" s="13"/>
      <c r="E43" s="13"/>
      <c r="F43" s="13"/>
    </row>
    <row r="44" customFormat="false" ht="15" hidden="false" customHeight="false" outlineLevel="0" collapsed="false">
      <c r="A44" s="48" t="s">
        <v>489</v>
      </c>
      <c r="B44" s="25" t="s">
        <v>254</v>
      </c>
      <c r="C44" s="46" t="n">
        <v>950</v>
      </c>
      <c r="D44" s="48"/>
      <c r="E44" s="48"/>
      <c r="F44" s="48"/>
    </row>
    <row r="45" customFormat="false" ht="15" hidden="false" customHeight="false" outlineLevel="0" collapsed="false">
      <c r="A45" s="13" t="s">
        <v>520</v>
      </c>
      <c r="B45" s="21" t="s">
        <v>254</v>
      </c>
      <c r="C45" s="14" t="n">
        <v>600</v>
      </c>
      <c r="D45" s="13"/>
      <c r="E45" s="13"/>
      <c r="F45" s="13"/>
    </row>
    <row r="46" customFormat="false" ht="15" hidden="false" customHeight="false" outlineLevel="0" collapsed="false">
      <c r="A46" s="11" t="s">
        <v>568</v>
      </c>
      <c r="B46" s="47"/>
      <c r="C46" s="15" t="n">
        <f aca="false">SUM(C33:C45)</f>
        <v>561203</v>
      </c>
      <c r="D46" s="47"/>
      <c r="E46" s="47"/>
      <c r="F46" s="47"/>
    </row>
    <row r="48" customFormat="false" ht="15" hidden="false" customHeight="false" outlineLevel="0" collapsed="false">
      <c r="A48" s="3" t="s">
        <v>569</v>
      </c>
      <c r="B48" s="3"/>
      <c r="C48" s="3"/>
      <c r="D48" s="3"/>
      <c r="E48" s="3"/>
      <c r="F48" s="3"/>
    </row>
    <row r="49" customFormat="false" ht="15" hidden="false" customHeight="false" outlineLevel="0" collapsed="false">
      <c r="A49" s="11" t="s">
        <v>570</v>
      </c>
      <c r="B49" s="47"/>
      <c r="C49" s="15" t="n">
        <v>476901</v>
      </c>
      <c r="D49" s="47"/>
      <c r="E49" s="47"/>
      <c r="F49" s="47"/>
    </row>
    <row r="51" customFormat="false" ht="15" hidden="false" customHeight="false" outlineLevel="0" collapsed="false">
      <c r="A51" s="3" t="s">
        <v>571</v>
      </c>
      <c r="B51" s="3"/>
      <c r="C51" s="3"/>
      <c r="D51" s="3"/>
      <c r="E51" s="3"/>
      <c r="F51" s="3"/>
    </row>
    <row r="52" customFormat="false" ht="15" hidden="false" customHeight="false" outlineLevel="0" collapsed="false">
      <c r="A52" s="13" t="s">
        <v>572</v>
      </c>
      <c r="B52" s="52"/>
      <c r="C52" s="14" t="n">
        <f aca="false">C29</f>
        <v>499216</v>
      </c>
      <c r="D52" s="52"/>
      <c r="E52" s="52"/>
      <c r="F52" s="52"/>
    </row>
    <row r="53" customFormat="false" ht="15" hidden="false" customHeight="false" outlineLevel="0" collapsed="false">
      <c r="A53" s="13" t="s">
        <v>573</v>
      </c>
      <c r="B53" s="52"/>
      <c r="C53" s="14" t="n">
        <f aca="false">C46</f>
        <v>561203</v>
      </c>
      <c r="D53" s="52"/>
      <c r="E53" s="52"/>
      <c r="F53" s="52"/>
    </row>
    <row r="54" customFormat="false" ht="15" hidden="false" customHeight="false" outlineLevel="0" collapsed="false">
      <c r="A54" s="13" t="s">
        <v>574</v>
      </c>
      <c r="B54" s="52"/>
      <c r="C54" s="14" t="n">
        <v>476901</v>
      </c>
      <c r="D54" s="52"/>
      <c r="E54" s="52"/>
      <c r="F54" s="52"/>
    </row>
    <row r="55" customFormat="false" ht="15" hidden="false" customHeight="false" outlineLevel="0" collapsed="false">
      <c r="A55" s="11" t="s">
        <v>11</v>
      </c>
      <c r="B55" s="47"/>
      <c r="C55" s="15" t="n">
        <f aca="false">SUM(C52:C54)</f>
        <v>1537320</v>
      </c>
      <c r="D55" s="47"/>
      <c r="E55" s="47"/>
      <c r="F55" s="47"/>
    </row>
  </sheetData>
  <mergeCells count="6">
    <mergeCell ref="A1:F1"/>
    <mergeCell ref="A2:F2"/>
    <mergeCell ref="A4:F4"/>
    <mergeCell ref="A31:F31"/>
    <mergeCell ref="A48:F48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2026-05-02T08:47:33Z</dcterms:created>
  <dc:creator>openpyxl</dc:creator>
  <dc:description/>
  <dc:language>en-US</dc:language>
  <cp:lastModifiedBy/>
  <dcterms:modified xsi:type="dcterms:W3CDTF">2026-05-02T08:52:21Z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